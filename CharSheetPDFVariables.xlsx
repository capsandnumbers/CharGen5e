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\Documents\Projects\dndCharGenerator\"/>
    </mc:Choice>
  </mc:AlternateContent>
  <xr:revisionPtr revIDLastSave="0" documentId="8_{3F151825-F5B5-45C7-AA17-DBBF637D13B0}" xr6:coauthVersionLast="47" xr6:coauthVersionMax="47" xr10:uidLastSave="{00000000-0000-0000-0000-000000000000}"/>
  <bookViews>
    <workbookView xWindow="-120" yWindow="-120" windowWidth="29040" windowHeight="15720" xr2:uid="{505B09D2-DDDA-4E93-84BC-DE744D1AFD14}"/>
  </bookViews>
  <sheets>
    <sheet name="Sheet1" sheetId="1" r:id="rId1"/>
    <sheet name="Sheet2" sheetId="2" r:id="rId2"/>
  </sheets>
  <definedNames>
    <definedName name="_xlnm._FilterDatabase" localSheetId="0" hidden="1">Sheet1!$A$1:$G$334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2" i="1" l="1"/>
  <c r="G173" i="1"/>
  <c r="G203" i="1"/>
  <c r="G204" i="1"/>
  <c r="G205" i="1"/>
  <c r="G206" i="1"/>
  <c r="G207" i="1"/>
  <c r="G208" i="1"/>
  <c r="G209" i="1"/>
  <c r="G25" i="1"/>
  <c r="G26" i="1"/>
  <c r="G27" i="1"/>
  <c r="G28" i="1"/>
  <c r="G29" i="1"/>
  <c r="G30" i="1"/>
  <c r="G326" i="1"/>
  <c r="G327" i="1"/>
  <c r="G328" i="1"/>
  <c r="G11" i="1"/>
  <c r="G329" i="1"/>
  <c r="G330" i="1"/>
  <c r="G331" i="1"/>
  <c r="G174" i="1"/>
  <c r="G6" i="1"/>
  <c r="G332" i="1"/>
  <c r="G333" i="1"/>
  <c r="G175" i="1"/>
  <c r="G334" i="1"/>
  <c r="G176" i="1"/>
  <c r="G12" i="1"/>
  <c r="G7" i="1"/>
  <c r="G177" i="1"/>
  <c r="G178" i="1"/>
  <c r="G179" i="1"/>
  <c r="G180" i="1"/>
  <c r="G181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182" i="1"/>
  <c r="G183" i="1"/>
  <c r="G13" i="1"/>
  <c r="G184" i="1"/>
  <c r="G14" i="1"/>
  <c r="G141" i="1"/>
  <c r="G142" i="1"/>
  <c r="G167" i="1"/>
  <c r="G143" i="1"/>
  <c r="G144" i="1"/>
  <c r="G145" i="1"/>
  <c r="G146" i="1"/>
  <c r="G147" i="1"/>
  <c r="G149" i="1"/>
  <c r="G166" i="1"/>
  <c r="G315" i="1"/>
  <c r="G316" i="1"/>
  <c r="G317" i="1"/>
  <c r="G318" i="1"/>
  <c r="G319" i="1"/>
  <c r="G320" i="1"/>
  <c r="G321" i="1"/>
  <c r="G322" i="1"/>
  <c r="G323" i="1"/>
  <c r="G324" i="1"/>
  <c r="G325" i="1"/>
  <c r="G148" i="1"/>
  <c r="G15" i="1"/>
  <c r="G16" i="1"/>
  <c r="G17" i="1"/>
  <c r="G18" i="1"/>
  <c r="G185" i="1"/>
  <c r="G186" i="1"/>
  <c r="G210" i="1"/>
  <c r="G211" i="1"/>
  <c r="G212" i="1"/>
  <c r="G213" i="1"/>
  <c r="G214" i="1"/>
  <c r="G215" i="1"/>
  <c r="G216" i="1"/>
  <c r="G217" i="1"/>
  <c r="G21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219" i="1"/>
  <c r="G71" i="1"/>
  <c r="G72" i="1"/>
  <c r="G73" i="1"/>
  <c r="G74" i="1"/>
  <c r="G75" i="1"/>
  <c r="G76" i="1"/>
  <c r="G77" i="1"/>
  <c r="G78" i="1"/>
  <c r="G79" i="1"/>
  <c r="G80" i="1"/>
  <c r="G81" i="1"/>
  <c r="G82" i="1"/>
  <c r="G220" i="1"/>
  <c r="G221" i="1"/>
  <c r="G222" i="1"/>
  <c r="G223" i="1"/>
  <c r="G224" i="1"/>
  <c r="G225" i="1"/>
  <c r="G226" i="1"/>
  <c r="G227" i="1"/>
  <c r="G228" i="1"/>
  <c r="G229" i="1"/>
  <c r="G187" i="1"/>
  <c r="G188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189" i="1"/>
  <c r="G190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191" i="1"/>
  <c r="G192" i="1"/>
  <c r="G256" i="1"/>
  <c r="G257" i="1"/>
  <c r="G258" i="1"/>
  <c r="G259" i="1"/>
  <c r="G260" i="1"/>
  <c r="G83" i="1"/>
  <c r="G84" i="1"/>
  <c r="G85" i="1"/>
  <c r="G86" i="1"/>
  <c r="G87" i="1"/>
  <c r="G88" i="1"/>
  <c r="G89" i="1"/>
  <c r="G90" i="1"/>
  <c r="G91" i="1"/>
  <c r="G261" i="1"/>
  <c r="G262" i="1"/>
  <c r="G263" i="1"/>
  <c r="G264" i="1"/>
  <c r="G265" i="1"/>
  <c r="G266" i="1"/>
  <c r="G267" i="1"/>
  <c r="G92" i="1"/>
  <c r="G268" i="1"/>
  <c r="G193" i="1"/>
  <c r="G194" i="1"/>
  <c r="G269" i="1"/>
  <c r="G270" i="1"/>
  <c r="G271" i="1"/>
  <c r="G272" i="1"/>
  <c r="G273" i="1"/>
  <c r="G274" i="1"/>
  <c r="G275" i="1"/>
  <c r="G276" i="1"/>
  <c r="G277" i="1"/>
  <c r="G195" i="1"/>
  <c r="G196" i="1"/>
  <c r="G278" i="1"/>
  <c r="G279" i="1"/>
  <c r="G280" i="1"/>
  <c r="G281" i="1"/>
  <c r="G282" i="1"/>
  <c r="G283" i="1"/>
  <c r="G284" i="1"/>
  <c r="G285" i="1"/>
  <c r="G286" i="1"/>
  <c r="G197" i="1"/>
  <c r="G198" i="1"/>
  <c r="G287" i="1"/>
  <c r="G288" i="1"/>
  <c r="G289" i="1"/>
  <c r="G290" i="1"/>
  <c r="G291" i="1"/>
  <c r="G292" i="1"/>
  <c r="G293" i="1"/>
  <c r="G294" i="1"/>
  <c r="G295" i="1"/>
  <c r="G199" i="1"/>
  <c r="G200" i="1"/>
  <c r="G296" i="1"/>
  <c r="G297" i="1"/>
  <c r="G298" i="1"/>
  <c r="G299" i="1"/>
  <c r="G93" i="1"/>
  <c r="G94" i="1"/>
  <c r="G95" i="1"/>
  <c r="G96" i="1"/>
  <c r="G97" i="1"/>
  <c r="G98" i="1"/>
  <c r="G99" i="1"/>
  <c r="G100" i="1"/>
  <c r="G101" i="1"/>
  <c r="G102" i="1"/>
  <c r="G103" i="1"/>
  <c r="G104" i="1"/>
  <c r="G300" i="1"/>
  <c r="G105" i="1"/>
  <c r="G106" i="1"/>
  <c r="G107" i="1"/>
  <c r="G108" i="1"/>
  <c r="G109" i="1"/>
  <c r="G110" i="1"/>
  <c r="G301" i="1"/>
  <c r="G302" i="1"/>
  <c r="G111" i="1"/>
  <c r="G201" i="1"/>
  <c r="G202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303" i="1"/>
  <c r="G304" i="1"/>
  <c r="G151" i="1"/>
  <c r="G152" i="1"/>
  <c r="G153" i="1"/>
  <c r="G154" i="1"/>
  <c r="G310" i="1"/>
  <c r="G155" i="1"/>
  <c r="G156" i="1"/>
  <c r="G2" i="1"/>
  <c r="G157" i="1"/>
  <c r="G158" i="1"/>
  <c r="G159" i="1"/>
  <c r="G160" i="1"/>
  <c r="G311" i="1"/>
  <c r="G8" i="1"/>
  <c r="G161" i="1"/>
  <c r="G168" i="1"/>
  <c r="G3" i="1"/>
  <c r="G162" i="1"/>
  <c r="G312" i="1"/>
  <c r="G9" i="1"/>
  <c r="G163" i="1"/>
  <c r="G313" i="1"/>
  <c r="G4" i="1"/>
  <c r="G164" i="1"/>
  <c r="G19" i="1"/>
  <c r="G20" i="1"/>
  <c r="G21" i="1"/>
  <c r="G10" i="1"/>
  <c r="G22" i="1"/>
  <c r="G23" i="1"/>
  <c r="G24" i="1"/>
  <c r="G165" i="1"/>
  <c r="G314" i="1"/>
  <c r="G5" i="1"/>
  <c r="G169" i="1"/>
  <c r="G170" i="1"/>
  <c r="G171" i="1"/>
  <c r="G150" i="1"/>
  <c r="G21" i="2" a="1"/>
  <c r="G21" i="2" s="1"/>
  <c r="M338" i="1" l="1" a="1"/>
  <c r="M338" i="1" s="1"/>
  <c r="N1" i="1" a="1"/>
  <c r="N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<sst xmlns="http://schemas.openxmlformats.org/spreadsheetml/2006/main" count="758" uniqueCount="418">
  <si>
    <t>ClassLevel</t>
  </si>
  <si>
    <t>Background</t>
  </si>
  <si>
    <t>PlayerName</t>
  </si>
  <si>
    <t>CharacterName</t>
  </si>
  <si>
    <t>Alignment</t>
  </si>
  <si>
    <t>XP</t>
  </si>
  <si>
    <t>Inspiration</t>
  </si>
  <si>
    <t>STR</t>
  </si>
  <si>
    <t>ProfBonus</t>
  </si>
  <si>
    <t>AC</t>
  </si>
  <si>
    <t>Initiative</t>
  </si>
  <si>
    <t>Speed</t>
  </si>
  <si>
    <t>PersonalityTraits</t>
  </si>
  <si>
    <t>STRmod</t>
  </si>
  <si>
    <t>HPMax</t>
  </si>
  <si>
    <t>ST Strength</t>
  </si>
  <si>
    <t>DEX</t>
  </si>
  <si>
    <t>HPCurrent</t>
  </si>
  <si>
    <t>Ideals</t>
  </si>
  <si>
    <t>DEXmod</t>
  </si>
  <si>
    <t>HPTemp</t>
  </si>
  <si>
    <t>Bonds</t>
  </si>
  <si>
    <t>CON</t>
  </si>
  <si>
    <t>HDTotal</t>
  </si>
  <si>
    <t>Check Box 12</t>
  </si>
  <si>
    <t>Check Box 13</t>
  </si>
  <si>
    <t>Check Box 14</t>
  </si>
  <si>
    <t>CONmod</t>
  </si>
  <si>
    <t>Check Box 15</t>
  </si>
  <si>
    <t>Check Box 16</t>
  </si>
  <si>
    <t>Check Box 17</t>
  </si>
  <si>
    <t>HD</t>
  </si>
  <si>
    <t>Flaws</t>
  </si>
  <si>
    <t>INT</t>
  </si>
  <si>
    <t>ST Dexterity</t>
  </si>
  <si>
    <t>ST Constitution</t>
  </si>
  <si>
    <t>ST Intelligence</t>
  </si>
  <si>
    <t>ST Wisdom</t>
  </si>
  <si>
    <t>ST Charisma</t>
  </si>
  <si>
    <t>Acrobatics</t>
  </si>
  <si>
    <t>Animal</t>
  </si>
  <si>
    <t>Athletics</t>
  </si>
  <si>
    <t>Deception</t>
  </si>
  <si>
    <t>History</t>
  </si>
  <si>
    <t>Insight</t>
  </si>
  <si>
    <t>Intimidation</t>
  </si>
  <si>
    <t>Check Box 11</t>
  </si>
  <si>
    <t>Check Box 18</t>
  </si>
  <si>
    <t>Check Box 19</t>
  </si>
  <si>
    <t>Check Box 20</t>
  </si>
  <si>
    <t>Check Box 21</t>
  </si>
  <si>
    <t>Check Box 22</t>
  </si>
  <si>
    <t>Wpn Name</t>
  </si>
  <si>
    <t>Wpn1 AtkBonus</t>
  </si>
  <si>
    <t>Wpn1 Damage</t>
  </si>
  <si>
    <t>INTmod</t>
  </si>
  <si>
    <t>Wpn Name 2</t>
  </si>
  <si>
    <t>Wpn2 AtkBonus</t>
  </si>
  <si>
    <t>Wpn2 Damage</t>
  </si>
  <si>
    <t>Investigation</t>
  </si>
  <si>
    <t>WIS</t>
  </si>
  <si>
    <t>Wpn Name 3</t>
  </si>
  <si>
    <t>Wpn3 AtkBonus</t>
  </si>
  <si>
    <t>Arcana</t>
  </si>
  <si>
    <t>Wpn3 Damage</t>
  </si>
  <si>
    <t>Perception</t>
  </si>
  <si>
    <t>WISmod</t>
  </si>
  <si>
    <t>CHA</t>
  </si>
  <si>
    <t>Nature</t>
  </si>
  <si>
    <t>Performance</t>
  </si>
  <si>
    <t>Medicine</t>
  </si>
  <si>
    <t>Religion</t>
  </si>
  <si>
    <t>Stealth</t>
  </si>
  <si>
    <t>Check Box 23</t>
  </si>
  <si>
    <t>Check Box 24</t>
  </si>
  <si>
    <t>Check Box 25</t>
  </si>
  <si>
    <t>Check Box 26</t>
  </si>
  <si>
    <t>Check Box 27</t>
  </si>
  <si>
    <t>Check Box 28</t>
  </si>
  <si>
    <t>Check Box 29</t>
  </si>
  <si>
    <t>Check Box 30</t>
  </si>
  <si>
    <t>Check Box 31</t>
  </si>
  <si>
    <t>Check Box 32</t>
  </si>
  <si>
    <t>Check Box 33</t>
  </si>
  <si>
    <t>Check Box 34</t>
  </si>
  <si>
    <t>Check Box 35</t>
  </si>
  <si>
    <t>Check Box 36</t>
  </si>
  <si>
    <t>Check Box 37</t>
  </si>
  <si>
    <t>Check Box 38</t>
  </si>
  <si>
    <t>Check Box 39</t>
  </si>
  <si>
    <t>Check Box 40</t>
  </si>
  <si>
    <t>Persuasion</t>
  </si>
  <si>
    <t>SleightofHand</t>
  </si>
  <si>
    <t>CHamod</t>
  </si>
  <si>
    <t>Survival</t>
  </si>
  <si>
    <t>AttacksSpellcasting</t>
  </si>
  <si>
    <t>Passive</t>
  </si>
  <si>
    <t>CP</t>
  </si>
  <si>
    <t>ProficienciesLang</t>
  </si>
  <si>
    <t>SP</t>
  </si>
  <si>
    <t>EP</t>
  </si>
  <si>
    <t>GP</t>
  </si>
  <si>
    <t>PP</t>
  </si>
  <si>
    <t>Equipment</t>
  </si>
  <si>
    <t>Features and Traits</t>
  </si>
  <si>
    <t>CharacterName 2</t>
  </si>
  <si>
    <t>Age</t>
  </si>
  <si>
    <t>Height</t>
  </si>
  <si>
    <t>Weight</t>
  </si>
  <si>
    <t>Eyes</t>
  </si>
  <si>
    <t>Skin</t>
  </si>
  <si>
    <t>Hair</t>
  </si>
  <si>
    <t>Faction Symbol Image</t>
  </si>
  <si>
    <t>Allies</t>
  </si>
  <si>
    <t>FactionName</t>
  </si>
  <si>
    <t>Backstory</t>
  </si>
  <si>
    <t>Feat+Traits</t>
  </si>
  <si>
    <t>Treasure</t>
  </si>
  <si>
    <t>Spellcasting Class 2</t>
  </si>
  <si>
    <t>SpellcastingAbility 2</t>
  </si>
  <si>
    <t>SpellSaveDC  2</t>
  </si>
  <si>
    <t>SpellAtkBonus 2</t>
  </si>
  <si>
    <t>SlotsTotal 19</t>
  </si>
  <si>
    <t>SlotsRemaining 19</t>
  </si>
  <si>
    <t>Spells 1014</t>
  </si>
  <si>
    <t>Spells 1015</t>
  </si>
  <si>
    <t>Spells 1016</t>
  </si>
  <si>
    <t>Spells 1017</t>
  </si>
  <si>
    <t>Spells 1018</t>
  </si>
  <si>
    <t>Spells 1019</t>
  </si>
  <si>
    <t>Spells 1020</t>
  </si>
  <si>
    <t>Spells 1021</t>
  </si>
  <si>
    <t>Spells 1022</t>
  </si>
  <si>
    <t>Check Box 314</t>
  </si>
  <si>
    <t>Check Box 3031</t>
  </si>
  <si>
    <t>Check Box 3032</t>
  </si>
  <si>
    <t>Check Box 3033</t>
  </si>
  <si>
    <t>Check Box 3034</t>
  </si>
  <si>
    <t>Check Box 3035</t>
  </si>
  <si>
    <t>Check Box 3036</t>
  </si>
  <si>
    <t>Check Box 3037</t>
  </si>
  <si>
    <t>Check Box 3038</t>
  </si>
  <si>
    <t>Check Box 3039</t>
  </si>
  <si>
    <t>Check Box 3040</t>
  </si>
  <si>
    <t>Check Box 321</t>
  </si>
  <si>
    <t>Check Box 320</t>
  </si>
  <si>
    <t>Check Box 3060</t>
  </si>
  <si>
    <t>Check Box 3061</t>
  </si>
  <si>
    <t>Check Box 3062</t>
  </si>
  <si>
    <t>Check Box 3063</t>
  </si>
  <si>
    <t>Check Box 3064</t>
  </si>
  <si>
    <t>Check Box 3065</t>
  </si>
  <si>
    <t>Check Box 3066</t>
  </si>
  <si>
    <t>Check Box 315</t>
  </si>
  <si>
    <t>Check Box 3041</t>
  </si>
  <si>
    <t>Spells 1023</t>
  </si>
  <si>
    <t>Check Box 251</t>
  </si>
  <si>
    <t>Check Box 309</t>
  </si>
  <si>
    <t>Check Box 3010</t>
  </si>
  <si>
    <t>Check Box 3011</t>
  </si>
  <si>
    <t>Check Box 3012</t>
  </si>
  <si>
    <t>Check Box 3013</t>
  </si>
  <si>
    <t>Check Box 3014</t>
  </si>
  <si>
    <t>Check Box 3015</t>
  </si>
  <si>
    <t>Check Box 3016</t>
  </si>
  <si>
    <t>Check Box 3017</t>
  </si>
  <si>
    <t>Check Box 3018</t>
  </si>
  <si>
    <t>Check Box 3019</t>
  </si>
  <si>
    <t>Spells 1024</t>
  </si>
  <si>
    <t>Spells 1025</t>
  </si>
  <si>
    <t>Spells 1026</t>
  </si>
  <si>
    <t>Spells 1027</t>
  </si>
  <si>
    <t>Spells 1028</t>
  </si>
  <si>
    <t>Spells 1029</t>
  </si>
  <si>
    <t>Spells 1030</t>
  </si>
  <si>
    <t>Spells 1031</t>
  </si>
  <si>
    <t>Spells 1032</t>
  </si>
  <si>
    <t>Spells 1033</t>
  </si>
  <si>
    <t>SlotsTotal 20</t>
  </si>
  <si>
    <t>SlotsRemaining 20</t>
  </si>
  <si>
    <t>Spells 1034</t>
  </si>
  <si>
    <t>Spells 1035</t>
  </si>
  <si>
    <t>Spells 1036</t>
  </si>
  <si>
    <t>Spells 1037</t>
  </si>
  <si>
    <t>Spells 1038</t>
  </si>
  <si>
    <t>Spells 1039</t>
  </si>
  <si>
    <t>Spells 1040</t>
  </si>
  <si>
    <t>Spells 1041</t>
  </si>
  <si>
    <t>Spells 1042</t>
  </si>
  <si>
    <t>Spells 1043</t>
  </si>
  <si>
    <t>Spells 1044</t>
  </si>
  <si>
    <t>Spells 1045</t>
  </si>
  <si>
    <t>Spells 1046</t>
  </si>
  <si>
    <t>SlotsTotal 21</t>
  </si>
  <si>
    <t>SlotsRemaining 21</t>
  </si>
  <si>
    <t>Spells 1047</t>
  </si>
  <si>
    <t>Spells 1048</t>
  </si>
  <si>
    <t>Spells 1049</t>
  </si>
  <si>
    <t>Spells 1050</t>
  </si>
  <si>
    <t>Spells 1051</t>
  </si>
  <si>
    <t>Spells 1052</t>
  </si>
  <si>
    <t>Spells 1053</t>
  </si>
  <si>
    <t>Spells 1054</t>
  </si>
  <si>
    <t>Spells 1055</t>
  </si>
  <si>
    <t>Spells 1056</t>
  </si>
  <si>
    <t>Spells 1057</t>
  </si>
  <si>
    <t>Spells 1058</t>
  </si>
  <si>
    <t>Spells 1059</t>
  </si>
  <si>
    <t>SlotsTotal 22</t>
  </si>
  <si>
    <t>SlotsRemaining 22</t>
  </si>
  <si>
    <t>Spells 1060</t>
  </si>
  <si>
    <t>Spells 1061</t>
  </si>
  <si>
    <t>Spells 1062</t>
  </si>
  <si>
    <t>Spells 1063</t>
  </si>
  <si>
    <t>Spells 1064</t>
  </si>
  <si>
    <t>Check Box 323</t>
  </si>
  <si>
    <t>Check Box 322</t>
  </si>
  <si>
    <t>Check Box 3067</t>
  </si>
  <si>
    <t>Check Box 3068</t>
  </si>
  <si>
    <t>Check Box 3069</t>
  </si>
  <si>
    <t>Check Box 3070</t>
  </si>
  <si>
    <t>Check Box 3071</t>
  </si>
  <si>
    <t>Check Box 3072</t>
  </si>
  <si>
    <t>Check Box 3073</t>
  </si>
  <si>
    <t>Spells 1065</t>
  </si>
  <si>
    <t>Spells 1066</t>
  </si>
  <si>
    <t>Spells 1067</t>
  </si>
  <si>
    <t>Spells 1068</t>
  </si>
  <si>
    <t>Spells 1069</t>
  </si>
  <si>
    <t>Spells 1070</t>
  </si>
  <si>
    <t>Spells 1071</t>
  </si>
  <si>
    <t>Check Box 317</t>
  </si>
  <si>
    <t>Spells 1072</t>
  </si>
  <si>
    <t>SlotsTotal 23</t>
  </si>
  <si>
    <t>SlotsRemaining 23</t>
  </si>
  <si>
    <t>Spells 1073</t>
  </si>
  <si>
    <t>Spells 1074</t>
  </si>
  <si>
    <t>Spells 1075</t>
  </si>
  <si>
    <t>Spells 1076</t>
  </si>
  <si>
    <t>Spells 1077</t>
  </si>
  <si>
    <t>Spells 1078</t>
  </si>
  <si>
    <t>Spells 1079</t>
  </si>
  <si>
    <t>Spells 1080</t>
  </si>
  <si>
    <t>Spells 1081</t>
  </si>
  <si>
    <t>SlotsTotal 24</t>
  </si>
  <si>
    <t>SlotsRemaining 24</t>
  </si>
  <si>
    <t>Spells 1082</t>
  </si>
  <si>
    <t>Spells 1083</t>
  </si>
  <si>
    <t>Spells 1084</t>
  </si>
  <si>
    <t>Spells 1085</t>
  </si>
  <si>
    <t>Spells 1086</t>
  </si>
  <si>
    <t>Spells 1087</t>
  </si>
  <si>
    <t>Spells 1088</t>
  </si>
  <si>
    <t>Spells 1089</t>
  </si>
  <si>
    <t>Spells 1090</t>
  </si>
  <si>
    <t>SlotsTotal 25</t>
  </si>
  <si>
    <t>SlotsRemaining 25</t>
  </si>
  <si>
    <t>Spells 1091</t>
  </si>
  <si>
    <t>Spells 1092</t>
  </si>
  <si>
    <t>Spells 1093</t>
  </si>
  <si>
    <t>Spells 1094</t>
  </si>
  <si>
    <t>Spells 1095</t>
  </si>
  <si>
    <t>Spells 1096</t>
  </si>
  <si>
    <t>Spells 1097</t>
  </si>
  <si>
    <t>Spells 1098</t>
  </si>
  <si>
    <t>Spells 1099</t>
  </si>
  <si>
    <t>SlotsTotal 26</t>
  </si>
  <si>
    <t>SlotsRemaining 26</t>
  </si>
  <si>
    <t>Spells 10100</t>
  </si>
  <si>
    <t>Spells 10101</t>
  </si>
  <si>
    <t>Spells 10102</t>
  </si>
  <si>
    <t>Spells 10103</t>
  </si>
  <si>
    <t>Check Box 316</t>
  </si>
  <si>
    <t>Check Box 3042</t>
  </si>
  <si>
    <t>Check Box 3043</t>
  </si>
  <si>
    <t>Check Box 3044</t>
  </si>
  <si>
    <t>Check Box 3045</t>
  </si>
  <si>
    <t>Check Box 3046</t>
  </si>
  <si>
    <t>Check Box 3047</t>
  </si>
  <si>
    <t>Check Box 3048</t>
  </si>
  <si>
    <t>Check Box 3049</t>
  </si>
  <si>
    <t>Check Box 3050</t>
  </si>
  <si>
    <t>Check Box 3051</t>
  </si>
  <si>
    <t>Check Box 3052</t>
  </si>
  <si>
    <t>Spells 10104</t>
  </si>
  <si>
    <t>Check Box 325</t>
  </si>
  <si>
    <t>Check Box 324</t>
  </si>
  <si>
    <t>Check Box 3074</t>
  </si>
  <si>
    <t>Check Box 3075</t>
  </si>
  <si>
    <t>Check Box 3076</t>
  </si>
  <si>
    <t>Check Box 3077</t>
  </si>
  <si>
    <t>Spells 10105</t>
  </si>
  <si>
    <t>Spells 10106</t>
  </si>
  <si>
    <t>Check Box 3078</t>
  </si>
  <si>
    <t>SlotsTotal 27</t>
  </si>
  <si>
    <t>SlotsRemaining 27</t>
  </si>
  <si>
    <t>Check Box 313</t>
  </si>
  <si>
    <t>Check Box 310</t>
  </si>
  <si>
    <t>Check Box 3020</t>
  </si>
  <si>
    <t>Check Box 3021</t>
  </si>
  <si>
    <t>Check Box 3022</t>
  </si>
  <si>
    <t>Check Box 3023</t>
  </si>
  <si>
    <t>Check Box 3024</t>
  </si>
  <si>
    <t>Check Box 3025</t>
  </si>
  <si>
    <t>Check Box 3026</t>
  </si>
  <si>
    <t>Check Box 3027</t>
  </si>
  <si>
    <t>Check Box 3028</t>
  </si>
  <si>
    <t>Check Box 3029</t>
  </si>
  <si>
    <t>Check Box 3030</t>
  </si>
  <si>
    <t>Spells 10107</t>
  </si>
  <si>
    <t>Spells 10108</t>
  </si>
  <si>
    <t>Spells 10109</t>
  </si>
  <si>
    <t>Spells 101010</t>
  </si>
  <si>
    <t>Spells 101011</t>
  </si>
  <si>
    <t>Spells 101012</t>
  </si>
  <si>
    <t>Check Box 319</t>
  </si>
  <si>
    <t>Check Box 318</t>
  </si>
  <si>
    <t>Check Box 3053</t>
  </si>
  <si>
    <t>Check Box 3054</t>
  </si>
  <si>
    <t>Check Box 3055</t>
  </si>
  <si>
    <t>Check Box 3056</t>
  </si>
  <si>
    <t>Check Box 3057</t>
  </si>
  <si>
    <t>Check Box 3058</t>
  </si>
  <si>
    <t>Check Box 3059</t>
  </si>
  <si>
    <t>Check Box 327</t>
  </si>
  <si>
    <t>Check Box 326</t>
  </si>
  <si>
    <t>Check Box 3079</t>
  </si>
  <si>
    <t>Check Box 3080</t>
  </si>
  <si>
    <t>Check Box 3081</t>
  </si>
  <si>
    <t>Check Box 3082</t>
  </si>
  <si>
    <t>Spells 101013</t>
  </si>
  <si>
    <t>Check Box 3083</t>
  </si>
  <si>
    <t>background.name</t>
  </si>
  <si>
    <t>rank</t>
  </si>
  <si>
    <t>Notes</t>
  </si>
  <si>
    <t>We'll use this field for that</t>
  </si>
  <si>
    <t>name</t>
  </si>
  <si>
    <t>race.name</t>
  </si>
  <si>
    <t>Needed?</t>
  </si>
  <si>
    <t>N</t>
  </si>
  <si>
    <t>character.</t>
  </si>
  <si>
    <t>PDF Variable</t>
  </si>
  <si>
    <t>'ClassLevel': character.level,</t>
  </si>
  <si>
    <t>'Background': character.background.name,</t>
  </si>
  <si>
    <t>'PlayerName': character.rank,</t>
  </si>
  <si>
    <t>'CharacterName': character.name,</t>
  </si>
  <si>
    <t>'Race': character.race.name,</t>
  </si>
  <si>
    <t>'STR': character.self.abilities["Strength"],</t>
  </si>
  <si>
    <t>'ProfBonus': character.profBonus,</t>
  </si>
  <si>
    <t>'Speed': character.speed,</t>
  </si>
  <si>
    <t>'PersonalityTraits': ,</t>
  </si>
  <si>
    <t>'STRmod': character.abmod(self.abilities["Strength"]),</t>
  </si>
  <si>
    <t>'HPMax': character.HP,</t>
  </si>
  <si>
    <t>'ST Strength': 1,</t>
  </si>
  <si>
    <t>'DEX': character.abmod(self.abilities["Dexterity"]),</t>
  </si>
  <si>
    <t>'HPCurrent': character.HP,</t>
  </si>
  <si>
    <t>'DEXmod': character.abmod(self.abilities["Dexterity"]),</t>
  </si>
  <si>
    <t>'CON': character.abmod(self.abilities["Constitution"]),</t>
  </si>
  <si>
    <t>STRmod': character.abMod(self.abilities["Strength"]),</t>
  </si>
  <si>
    <t>DEX': character.abMod(self.abilities["Dexterity"]),</t>
  </si>
  <si>
    <t>DEXmod': character.abMod(self.abilities["Dexterity"]),</t>
  </si>
  <si>
    <t>CON': character.abMod(self.abilities["Constitution"]),</t>
  </si>
  <si>
    <t>Prefix</t>
  </si>
  <si>
    <t>Formula</t>
  </si>
  <si>
    <t>M</t>
  </si>
  <si>
    <t>'ClassLevel': str(character.class) + " " + str(character.level),</t>
  </si>
  <si>
    <t>Ability Mod</t>
  </si>
  <si>
    <t>Category</t>
  </si>
  <si>
    <t>Skill</t>
  </si>
  <si>
    <t>Weapon</t>
  </si>
  <si>
    <t>Ability</t>
  </si>
  <si>
    <t>Checkbox</t>
  </si>
  <si>
    <t>Attacks</t>
  </si>
  <si>
    <t>Proficiencies</t>
  </si>
  <si>
    <t>Features</t>
  </si>
  <si>
    <t>Spell</t>
  </si>
  <si>
    <t>Slots</t>
  </si>
  <si>
    <t>Save</t>
  </si>
  <si>
    <t>Main</t>
  </si>
  <si>
    <t>Traits</t>
  </si>
  <si>
    <t>Casting</t>
  </si>
  <si>
    <t>Finished Formula</t>
  </si>
  <si>
    <t>'ClassLevel': str(character.charClass) + " " + str(character.level),</t>
  </si>
  <si>
    <t>str(character.abilities["Charisma"])</t>
  </si>
  <si>
    <t>str(character.abilities["Wisdom"])</t>
  </si>
  <si>
    <t>str(character.abilities["Strength"])</t>
  </si>
  <si>
    <t>str(character.abilities["Dexterity"])</t>
  </si>
  <si>
    <t>str(character.abilities["Constitution"])</t>
  </si>
  <si>
    <t>str(character.abilities["Intelligence"])</t>
  </si>
  <si>
    <t>str(header.abMod(character.abilities["Strength"]))</t>
  </si>
  <si>
    <t>str(header.abMod(character.abilities["Dexterity"]))</t>
  </si>
  <si>
    <t>str(header.abMod(character.abilities["Constitution"]))</t>
  </si>
  <si>
    <t>str(header.abMod(character.abilities["Intelligence"]))</t>
  </si>
  <si>
    <t>str(header.abMod(character.abilities["Charisma"]))</t>
  </si>
  <si>
    <t>str(character.profBonus)</t>
  </si>
  <si>
    <t>str(character.speed) + " ft."</t>
  </si>
  <si>
    <t>str(character.HP)</t>
  </si>
  <si>
    <t>"Y"</t>
  </si>
  <si>
    <t>'CHA': str(character.abilities["Charisma"]),</t>
  </si>
  <si>
    <t>'CHamod': str(header.abMod(character.abilities["Charisma"])),</t>
  </si>
  <si>
    <t>'Check Box 12': "Y",</t>
  </si>
  <si>
    <t>'CON': str(character.abilities["Constitution"]),</t>
  </si>
  <si>
    <t>'CONmod': str(header.abMod(character.abilities["Constitution"])),</t>
  </si>
  <si>
    <t>'DEX': str(character.abilities["Dexterity"]),</t>
  </si>
  <si>
    <t>'DEXmod': str(header.abMod(character.abilities["Dexterity"])),</t>
  </si>
  <si>
    <t>'HPCurrent': str(character.HP),</t>
  </si>
  <si>
    <t>'HPMax': str(character.HP),</t>
  </si>
  <si>
    <t>'INT': str(character.abilities["Intelligence"]),</t>
  </si>
  <si>
    <t>'INTmod': str(header.abMod(character.abilities["Constitution"])),</t>
  </si>
  <si>
    <t>'ProfBonus': str(character.profBonus),</t>
  </si>
  <si>
    <t>'Speed': str(character.speed) + " ft.",</t>
  </si>
  <si>
    <t>'STR': str(character.abilities["Strength"]),</t>
  </si>
  <si>
    <t>'STRmod': str(header.abMod(character.abilities["Strength"])),</t>
  </si>
  <si>
    <t>'WIS': str(character.abilities["Wisdom"]),</t>
  </si>
  <si>
    <t>'WISmod': str(header.abMod(character.abilities["Intelligence"])),</t>
  </si>
  <si>
    <t>str(character.charClass.name) + " " + str(character.level)</t>
  </si>
  <si>
    <t xml:space="preserve">Race </t>
  </si>
  <si>
    <t>Include subrace? Watch out, there's a space after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</si>
</sst>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A4C9-B7D7-4220-9DD7-04769A767918}">
  <dimension ref="A1:N361"/>
  <sheetViews>
    <sheetView tabSelected="1" workbookViewId="0">
      <selection activeCell="D6" sqref="D6"/>
    </sheetView>
  </sheetViews>
  <sheetFormatPr defaultRowHeight="14.25"/>
  <cols>
    <col min="1" max="1" width="19.25" bestFit="1" customWidth="1"/>
    <col min="4" max="4" width="43.125" bestFit="1" customWidth="1"/>
    <col min="5" max="5" width="8.125" bestFit="1" customWidth="1"/>
    <col min="6" max="6" width="22" bestFit="1" customWidth="1"/>
    <col min="13" max="13" width="54.75" bestFit="1" customWidth="1"/>
  </cols>
  <sheetData>
    <row r="1" spans="1:14">
      <c r="A1" t="s">
        <v>341</v>
      </c>
      <c r="B1" t="s">
        <v>367</v>
      </c>
      <c r="C1" t="s">
        <v>362</v>
      </c>
      <c r="D1" t="s">
        <v>363</v>
      </c>
      <c r="E1" t="s">
        <v>338</v>
      </c>
      <c r="F1" t="s">
        <v>334</v>
      </c>
      <c r="G1" t="s">
        <v>381</v>
      </c>
      <c r="N1" t="str" cm="1">
        <f t="array" ref="N1:N24">_xlfn._xlws.SORT(_xlfn.UNIQUE(G2:G500))</f>
        <v/>
      </c>
    </row>
    <row r="2" spans="1:14">
      <c r="A2" t="s">
        <v>7</v>
      </c>
      <c r="B2" t="s">
        <v>370</v>
      </c>
      <c r="D2" t="s">
        <v>385</v>
      </c>
      <c r="G2" t="str">
        <f>IF(NOT(ISBLANK(D2)),_xlfn.CONCAT("'",A2,"': ",C2,D2,","),"")</f>
        <v>'STR': str(character.abilities["Strength"]),</v>
      </c>
      <c r="N2" t="str">
        <v>'Background': character.background.name,</v>
      </c>
    </row>
    <row r="3" spans="1:14">
      <c r="A3" t="s">
        <v>16</v>
      </c>
      <c r="B3" t="s">
        <v>370</v>
      </c>
      <c r="D3" t="s">
        <v>386</v>
      </c>
      <c r="G3" t="str">
        <f>IF(NOT(ISBLANK(D3)),_xlfn.CONCAT("'",A3,"': ",C3,D3,","),"")</f>
        <v>'DEX': str(character.abilities["Dexterity"]),</v>
      </c>
      <c r="N3" t="str">
        <v>'CHA': str(character.abilities["Charisma"]),</v>
      </c>
    </row>
    <row r="4" spans="1:14">
      <c r="A4" t="s">
        <v>22</v>
      </c>
      <c r="B4" t="s">
        <v>370</v>
      </c>
      <c r="D4" t="s">
        <v>387</v>
      </c>
      <c r="G4" t="str">
        <f>IF(NOT(ISBLANK(D4)),_xlfn.CONCAT("'",A4,"': ",C4,D4,","),"")</f>
        <v>'CON': str(character.abilities["Constitution"]),</v>
      </c>
      <c r="N4" t="str">
        <v>'CHamod': str(header.abMod(character.abilities["Charisma"])),</v>
      </c>
    </row>
    <row r="5" spans="1:14">
      <c r="A5" t="s">
        <v>33</v>
      </c>
      <c r="B5" t="s">
        <v>370</v>
      </c>
      <c r="D5" t="s">
        <v>388</v>
      </c>
      <c r="G5" t="str">
        <f>IF(NOT(ISBLANK(D5)),_xlfn.CONCAT("'",A5,"': ",C5,D5,","),"")</f>
        <v>'INT': str(character.abilities["Intelligence"]),</v>
      </c>
      <c r="N5" t="str">
        <v>'CharacterName': character.name,</v>
      </c>
    </row>
    <row r="6" spans="1:14">
      <c r="A6" t="s">
        <v>60</v>
      </c>
      <c r="B6" t="s">
        <v>370</v>
      </c>
      <c r="D6" t="s">
        <v>384</v>
      </c>
      <c r="G6" t="str">
        <f>IF(NOT(ISBLANK(D6)),_xlfn.CONCAT("'",A6,"': ",C6,D6,","),"")</f>
        <v>'WIS': str(character.abilities["Wisdom"]),</v>
      </c>
      <c r="N6" t="str">
        <v>'Check Box 12': "Y",</v>
      </c>
    </row>
    <row r="7" spans="1:14">
      <c r="A7" t="s">
        <v>67</v>
      </c>
      <c r="B7" t="s">
        <v>370</v>
      </c>
      <c r="D7" t="s">
        <v>383</v>
      </c>
      <c r="G7" t="str">
        <f>IF(NOT(ISBLANK(D7)),_xlfn.CONCAT("'",A7,"': ",C7,D7,","),"")</f>
        <v>'CHA': str(character.abilities["Charisma"]),</v>
      </c>
      <c r="N7" t="str">
        <v>'ClassLevel': str(character.charClass.name) + " " + str(character.level),</v>
      </c>
    </row>
    <row r="8" spans="1:14">
      <c r="A8" t="s">
        <v>13</v>
      </c>
      <c r="B8" t="s">
        <v>366</v>
      </c>
      <c r="D8" t="s">
        <v>389</v>
      </c>
      <c r="G8" t="str">
        <f>IF(NOT(ISBLANK(D8)),_xlfn.CONCAT("'",A8,"': ",C8,D8,","),"")</f>
        <v>'STRmod': str(header.abMod(character.abilities["Strength"])),</v>
      </c>
      <c r="N8" t="str">
        <v>'CON': str(character.abilities["Constitution"]),</v>
      </c>
    </row>
    <row r="9" spans="1:14">
      <c r="A9" t="s">
        <v>19</v>
      </c>
      <c r="B9" t="s">
        <v>366</v>
      </c>
      <c r="D9" t="s">
        <v>390</v>
      </c>
      <c r="G9" t="str">
        <f>IF(NOT(ISBLANK(D9)),_xlfn.CONCAT("'",A9,"': ",C9,D9,","),"")</f>
        <v>'DEXmod': str(header.abMod(character.abilities["Dexterity"])),</v>
      </c>
      <c r="N9" t="str">
        <v>'CONmod': str(header.abMod(character.abilities["Constitution"])),</v>
      </c>
    </row>
    <row r="10" spans="1:14">
      <c r="A10" t="s">
        <v>27</v>
      </c>
      <c r="B10" t="s">
        <v>366</v>
      </c>
      <c r="D10" t="s">
        <v>391</v>
      </c>
      <c r="G10" t="str">
        <f>IF(NOT(ISBLANK(D10)),_xlfn.CONCAT("'",A10,"': ",C10,D10,","),"")</f>
        <v>'CONmod': str(header.abMod(character.abilities["Constitution"])),</v>
      </c>
      <c r="N10" t="str">
        <v>'DEX': str(character.abilities["Dexterity"]),</v>
      </c>
    </row>
    <row r="11" spans="1:14">
      <c r="A11" t="s">
        <v>55</v>
      </c>
      <c r="B11" t="s">
        <v>366</v>
      </c>
      <c r="D11" t="s">
        <v>391</v>
      </c>
      <c r="G11" t="str">
        <f>IF(NOT(ISBLANK(D11)),_xlfn.CONCAT("'",A11,"': ",C11,D11,","),"")</f>
        <v>'INTmod': str(header.abMod(character.abilities["Constitution"])),</v>
      </c>
      <c r="N11" t="str">
        <v>'DEXmod': str(header.abMod(character.abilities["Dexterity"])),</v>
      </c>
    </row>
    <row r="12" spans="1:14">
      <c r="A12" t="s">
        <v>66</v>
      </c>
      <c r="B12" t="s">
        <v>366</v>
      </c>
      <c r="D12" t="s">
        <v>392</v>
      </c>
      <c r="G12" t="str">
        <f>IF(NOT(ISBLANK(D12)),_xlfn.CONCAT("'",A12,"': ",C12,D12,","),"")</f>
        <v>'WISmod': str(header.abMod(character.abilities["Intelligence"])),</v>
      </c>
      <c r="N12" t="str">
        <v>'HPCurrent': str(character.HP),</v>
      </c>
    </row>
    <row r="13" spans="1:14">
      <c r="A13" t="s">
        <v>93</v>
      </c>
      <c r="B13" t="s">
        <v>366</v>
      </c>
      <c r="D13" t="s">
        <v>393</v>
      </c>
      <c r="G13" t="str">
        <f>IF(NOT(ISBLANK(D13)),_xlfn.CONCAT("'",A13,"': ",C13,D13,","),"")</f>
        <v>'CHamod': str(header.abMod(character.abilities["Charisma"])),</v>
      </c>
      <c r="N13" t="str">
        <v>'HPMax': str(character.HP),</v>
      </c>
    </row>
    <row r="14" spans="1:14">
      <c r="A14" t="s">
        <v>95</v>
      </c>
      <c r="B14" t="s">
        <v>372</v>
      </c>
      <c r="G14" t="str">
        <f>IF(NOT(ISBLANK(D14)),_xlfn.CONCAT("'",A14,"': ",C14,D14,","),"")</f>
        <v/>
      </c>
      <c r="N14" t="str">
        <v>'INT': str(character.abilities["Intelligence"]),</v>
      </c>
    </row>
    <row r="15" spans="1:14">
      <c r="A15" t="s">
        <v>118</v>
      </c>
      <c r="B15" t="s">
        <v>380</v>
      </c>
      <c r="G15" t="str">
        <f>IF(NOT(ISBLANK(D15)),_xlfn.CONCAT("'",A15,"': ",C15,D15,","),"")</f>
        <v/>
      </c>
      <c r="N15" t="str">
        <v>'INTmod': str(header.abMod(character.abilities["Constitution"])),</v>
      </c>
    </row>
    <row r="16" spans="1:14">
      <c r="A16" t="s">
        <v>119</v>
      </c>
      <c r="B16" t="s">
        <v>380</v>
      </c>
      <c r="G16" t="str">
        <f>IF(NOT(ISBLANK(D16)),_xlfn.CONCAT("'",A16,"': ",C16,D16,","),"")</f>
        <v/>
      </c>
      <c r="N16" t="str">
        <v>'PlayerName': character.rank,</v>
      </c>
    </row>
    <row r="17" spans="1:14">
      <c r="A17" t="s">
        <v>120</v>
      </c>
      <c r="B17" t="s">
        <v>380</v>
      </c>
      <c r="G17" t="str">
        <f>IF(NOT(ISBLANK(D17)),_xlfn.CONCAT("'",A17,"': ",C17,D17,","),"")</f>
        <v/>
      </c>
      <c r="N17" t="str">
        <v>'ProfBonus': str(character.profBonus),</v>
      </c>
    </row>
    <row r="18" spans="1:14">
      <c r="A18" t="s">
        <v>121</v>
      </c>
      <c r="B18" t="s">
        <v>380</v>
      </c>
      <c r="G18" t="str">
        <f>IF(NOT(ISBLANK(D18)),_xlfn.CONCAT("'",A18,"': ",C18,D18,","),"")</f>
        <v/>
      </c>
      <c r="N18" t="str">
        <v>'Race ': character.race.name,</v>
      </c>
    </row>
    <row r="19" spans="1:14">
      <c r="A19" t="s">
        <v>24</v>
      </c>
      <c r="B19" t="s">
        <v>371</v>
      </c>
      <c r="D19" t="s">
        <v>397</v>
      </c>
      <c r="G19" t="str">
        <f>IF(NOT(ISBLANK(D19)),_xlfn.CONCAT("'",A19,"': ",C19,D19,","),"")</f>
        <v>'Check Box 12': "Y",</v>
      </c>
      <c r="N19" t="str">
        <v>'Speed': str(character.speed) + " ft.",</v>
      </c>
    </row>
    <row r="20" spans="1:14">
      <c r="A20" t="s">
        <v>25</v>
      </c>
      <c r="B20" t="s">
        <v>371</v>
      </c>
      <c r="G20" t="str">
        <f>IF(NOT(ISBLANK(D20)),_xlfn.CONCAT("'",A20,"': ",C20,D20,","),"")</f>
        <v/>
      </c>
      <c r="N20" t="str">
        <v>'STR': str(character.abilities["Strength"]),</v>
      </c>
    </row>
    <row r="21" spans="1:14">
      <c r="A21" t="s">
        <v>26</v>
      </c>
      <c r="B21" t="s">
        <v>371</v>
      </c>
      <c r="G21" t="str">
        <f>IF(NOT(ISBLANK(D21)),_xlfn.CONCAT("'",A21,"': ",C21,D21,","),"")</f>
        <v/>
      </c>
      <c r="N21" t="str">
        <v>'STRmod': str(header.abMod(character.abilities["Strength"])),</v>
      </c>
    </row>
    <row r="22" spans="1:14">
      <c r="A22" t="s">
        <v>28</v>
      </c>
      <c r="B22" t="s">
        <v>371</v>
      </c>
      <c r="G22" t="str">
        <f>IF(NOT(ISBLANK(D22)),_xlfn.CONCAT("'",A22,"': ",C22,D22,","),"")</f>
        <v/>
      </c>
      <c r="N22" t="str">
        <v>'WIS': str(character.abilities["Wisdom"]),</v>
      </c>
    </row>
    <row r="23" spans="1:14">
      <c r="A23" t="s">
        <v>29</v>
      </c>
      <c r="B23" t="s">
        <v>371</v>
      </c>
      <c r="G23" t="str">
        <f>IF(NOT(ISBLANK(D23)),_xlfn.CONCAT("'",A23,"': ",C23,D23,","),"")</f>
        <v/>
      </c>
      <c r="N23" t="str">
        <v>'WISmod': str(header.abMod(character.abilities["Intelligence"])),</v>
      </c>
    </row>
    <row r="24" spans="1:14">
      <c r="A24" t="s">
        <v>30</v>
      </c>
      <c r="B24" t="s">
        <v>371</v>
      </c>
      <c r="G24" t="str">
        <f>IF(NOT(ISBLANK(D24)),_xlfn.CONCAT("'",A24,"': ",C24,D24,","),"")</f>
        <v/>
      </c>
      <c r="N24">
        <v>0</v>
      </c>
    </row>
    <row r="25" spans="1:14">
      <c r="A25" t="s">
        <v>46</v>
      </c>
      <c r="B25" t="s">
        <v>371</v>
      </c>
      <c r="G25" t="str">
        <f>IF(NOT(ISBLANK(D25)),_xlfn.CONCAT("'",A25,"': ",C25,D25,","),"")</f>
        <v/>
      </c>
    </row>
    <row r="26" spans="1:14">
      <c r="A26" t="s">
        <v>47</v>
      </c>
      <c r="B26" t="s">
        <v>371</v>
      </c>
      <c r="G26" t="str">
        <f>IF(NOT(ISBLANK(D26)),_xlfn.CONCAT("'",A26,"': ",C26,D26,","),"")</f>
        <v/>
      </c>
    </row>
    <row r="27" spans="1:14">
      <c r="A27" t="s">
        <v>48</v>
      </c>
      <c r="B27" t="s">
        <v>371</v>
      </c>
      <c r="G27" t="str">
        <f>IF(NOT(ISBLANK(D27)),_xlfn.CONCAT("'",A27,"': ",C27,D27,","),"")</f>
        <v/>
      </c>
    </row>
    <row r="28" spans="1:14">
      <c r="A28" t="s">
        <v>49</v>
      </c>
      <c r="B28" t="s">
        <v>371</v>
      </c>
      <c r="G28" t="str">
        <f>IF(NOT(ISBLANK(D28)),_xlfn.CONCAT("'",A28,"': ",C28,D28,","),"")</f>
        <v/>
      </c>
    </row>
    <row r="29" spans="1:14">
      <c r="A29" t="s">
        <v>50</v>
      </c>
      <c r="B29" t="s">
        <v>371</v>
      </c>
      <c r="G29" t="str">
        <f>IF(NOT(ISBLANK(D29)),_xlfn.CONCAT("'",A29,"': ",C29,D29,","),"")</f>
        <v/>
      </c>
    </row>
    <row r="30" spans="1:14">
      <c r="A30" t="s">
        <v>51</v>
      </c>
      <c r="B30" t="s">
        <v>371</v>
      </c>
      <c r="G30" t="str">
        <f>IF(NOT(ISBLANK(D30)),_xlfn.CONCAT("'",A30,"': ",C30,D30,","),"")</f>
        <v/>
      </c>
    </row>
    <row r="31" spans="1:14">
      <c r="A31" t="s">
        <v>73</v>
      </c>
      <c r="B31" t="s">
        <v>371</v>
      </c>
      <c r="G31" t="str">
        <f>IF(NOT(ISBLANK(D31)),_xlfn.CONCAT("'",A31,"': ",C31,D31,","),"")</f>
        <v/>
      </c>
    </row>
    <row r="32" spans="1:14">
      <c r="A32" t="s">
        <v>74</v>
      </c>
      <c r="B32" t="s">
        <v>371</v>
      </c>
      <c r="G32" t="str">
        <f>IF(NOT(ISBLANK(D32)),_xlfn.CONCAT("'",A32,"': ",C32,D32,","),"")</f>
        <v/>
      </c>
    </row>
    <row r="33" spans="1:7">
      <c r="A33" t="s">
        <v>75</v>
      </c>
      <c r="B33" t="s">
        <v>371</v>
      </c>
      <c r="G33" t="str">
        <f>IF(NOT(ISBLANK(D33)),_xlfn.CONCAT("'",A33,"': ",C33,D33,","),"")</f>
        <v/>
      </c>
    </row>
    <row r="34" spans="1:7">
      <c r="A34" t="s">
        <v>76</v>
      </c>
      <c r="B34" t="s">
        <v>371</v>
      </c>
      <c r="G34" t="str">
        <f>IF(NOT(ISBLANK(D34)),_xlfn.CONCAT("'",A34,"': ",C34,D34,","),"")</f>
        <v/>
      </c>
    </row>
    <row r="35" spans="1:7">
      <c r="A35" t="s">
        <v>77</v>
      </c>
      <c r="B35" t="s">
        <v>371</v>
      </c>
      <c r="G35" t="str">
        <f>IF(NOT(ISBLANK(D35)),_xlfn.CONCAT("'",A35,"': ",C35,D35,","),"")</f>
        <v/>
      </c>
    </row>
    <row r="36" spans="1:7">
      <c r="A36" t="s">
        <v>78</v>
      </c>
      <c r="B36" t="s">
        <v>371</v>
      </c>
      <c r="G36" t="str">
        <f>IF(NOT(ISBLANK(D36)),_xlfn.CONCAT("'",A36,"': ",C36,D36,","),"")</f>
        <v/>
      </c>
    </row>
    <row r="37" spans="1:7">
      <c r="A37" t="s">
        <v>79</v>
      </c>
      <c r="B37" t="s">
        <v>371</v>
      </c>
      <c r="G37" t="str">
        <f>IF(NOT(ISBLANK(D37)),_xlfn.CONCAT("'",A37,"': ",C37,D37,","),"")</f>
        <v/>
      </c>
    </row>
    <row r="38" spans="1:7">
      <c r="A38" t="s">
        <v>80</v>
      </c>
      <c r="B38" t="s">
        <v>371</v>
      </c>
      <c r="G38" t="str">
        <f>IF(NOT(ISBLANK(D38)),_xlfn.CONCAT("'",A38,"': ",C38,D38,","),"")</f>
        <v/>
      </c>
    </row>
    <row r="39" spans="1:7">
      <c r="A39" t="s">
        <v>81</v>
      </c>
      <c r="B39" t="s">
        <v>371</v>
      </c>
      <c r="G39" t="str">
        <f>IF(NOT(ISBLANK(D39)),_xlfn.CONCAT("'",A39,"': ",C39,D39,","),"")</f>
        <v/>
      </c>
    </row>
    <row r="40" spans="1:7">
      <c r="A40" t="s">
        <v>82</v>
      </c>
      <c r="B40" t="s">
        <v>371</v>
      </c>
      <c r="G40" t="str">
        <f>IF(NOT(ISBLANK(D40)),_xlfn.CONCAT("'",A40,"': ",C40,D40,","),"")</f>
        <v/>
      </c>
    </row>
    <row r="41" spans="1:7">
      <c r="A41" t="s">
        <v>83</v>
      </c>
      <c r="B41" t="s">
        <v>371</v>
      </c>
      <c r="G41" t="str">
        <f>IF(NOT(ISBLANK(D41)),_xlfn.CONCAT("'",A41,"': ",C41,D41,","),"")</f>
        <v/>
      </c>
    </row>
    <row r="42" spans="1:7">
      <c r="A42" t="s">
        <v>84</v>
      </c>
      <c r="B42" t="s">
        <v>371</v>
      </c>
      <c r="G42" t="str">
        <f>IF(NOT(ISBLANK(D42)),_xlfn.CONCAT("'",A42,"': ",C42,D42,","),"")</f>
        <v/>
      </c>
    </row>
    <row r="43" spans="1:7">
      <c r="A43" t="s">
        <v>85</v>
      </c>
      <c r="B43" t="s">
        <v>371</v>
      </c>
      <c r="G43" t="str">
        <f>IF(NOT(ISBLANK(D43)),_xlfn.CONCAT("'",A43,"': ",C43,D43,","),"")</f>
        <v/>
      </c>
    </row>
    <row r="44" spans="1:7">
      <c r="A44" t="s">
        <v>86</v>
      </c>
      <c r="B44" t="s">
        <v>371</v>
      </c>
      <c r="G44" t="str">
        <f>IF(NOT(ISBLANK(D44)),_xlfn.CONCAT("'",A44,"': ",C44,D44,","),"")</f>
        <v/>
      </c>
    </row>
    <row r="45" spans="1:7">
      <c r="A45" t="s">
        <v>87</v>
      </c>
      <c r="B45" t="s">
        <v>371</v>
      </c>
      <c r="G45" t="str">
        <f>IF(NOT(ISBLANK(D45)),_xlfn.CONCAT("'",A45,"': ",C45,D45,","),"")</f>
        <v/>
      </c>
    </row>
    <row r="46" spans="1:7">
      <c r="A46" t="s">
        <v>88</v>
      </c>
      <c r="B46" t="s">
        <v>371</v>
      </c>
      <c r="G46" t="str">
        <f>IF(NOT(ISBLANK(D46)),_xlfn.CONCAT("'",A46,"': ",C46,D46,","),"")</f>
        <v/>
      </c>
    </row>
    <row r="47" spans="1:7">
      <c r="A47" t="s">
        <v>89</v>
      </c>
      <c r="B47" t="s">
        <v>371</v>
      </c>
      <c r="G47" t="str">
        <f>IF(NOT(ISBLANK(D47)),_xlfn.CONCAT("'",A47,"': ",C47,D47,","),"")</f>
        <v/>
      </c>
    </row>
    <row r="48" spans="1:7">
      <c r="A48" t="s">
        <v>90</v>
      </c>
      <c r="B48" t="s">
        <v>371</v>
      </c>
      <c r="G48" t="str">
        <f>IF(NOT(ISBLANK(D48)),_xlfn.CONCAT("'",A48,"': ",C48,D48,","),"")</f>
        <v/>
      </c>
    </row>
    <row r="49" spans="1:7">
      <c r="A49" t="s">
        <v>133</v>
      </c>
      <c r="B49" t="s">
        <v>371</v>
      </c>
      <c r="G49" t="str">
        <f>IF(NOT(ISBLANK(D49)),_xlfn.CONCAT("'",A49,"': ",C49,D49,","),"")</f>
        <v/>
      </c>
    </row>
    <row r="50" spans="1:7">
      <c r="A50" t="s">
        <v>134</v>
      </c>
      <c r="B50" t="s">
        <v>371</v>
      </c>
      <c r="G50" t="str">
        <f>IF(NOT(ISBLANK(D50)),_xlfn.CONCAT("'",A50,"': ",C50,D50,","),"")</f>
        <v/>
      </c>
    </row>
    <row r="51" spans="1:7">
      <c r="A51" t="s">
        <v>135</v>
      </c>
      <c r="B51" t="s">
        <v>371</v>
      </c>
      <c r="G51" t="str">
        <f>IF(NOT(ISBLANK(D51)),_xlfn.CONCAT("'",A51,"': ",C51,D51,","),"")</f>
        <v/>
      </c>
    </row>
    <row r="52" spans="1:7">
      <c r="A52" t="s">
        <v>136</v>
      </c>
      <c r="B52" t="s">
        <v>371</v>
      </c>
      <c r="G52" t="str">
        <f>IF(NOT(ISBLANK(D52)),_xlfn.CONCAT("'",A52,"': ",C52,D52,","),"")</f>
        <v/>
      </c>
    </row>
    <row r="53" spans="1:7">
      <c r="A53" t="s">
        <v>137</v>
      </c>
      <c r="B53" t="s">
        <v>371</v>
      </c>
      <c r="G53" t="str">
        <f>IF(NOT(ISBLANK(D53)),_xlfn.CONCAT("'",A53,"': ",C53,D53,","),"")</f>
        <v/>
      </c>
    </row>
    <row r="54" spans="1:7">
      <c r="A54" t="s">
        <v>138</v>
      </c>
      <c r="B54" t="s">
        <v>371</v>
      </c>
      <c r="G54" t="str">
        <f>IF(NOT(ISBLANK(D54)),_xlfn.CONCAT("'",A54,"': ",C54,D54,","),"")</f>
        <v/>
      </c>
    </row>
    <row r="55" spans="1:7">
      <c r="A55" t="s">
        <v>139</v>
      </c>
      <c r="B55" t="s">
        <v>371</v>
      </c>
      <c r="G55" t="str">
        <f>IF(NOT(ISBLANK(D55)),_xlfn.CONCAT("'",A55,"': ",C55,D55,","),"")</f>
        <v/>
      </c>
    </row>
    <row r="56" spans="1:7">
      <c r="A56" t="s">
        <v>140</v>
      </c>
      <c r="B56" t="s">
        <v>371</v>
      </c>
      <c r="G56" t="str">
        <f>IF(NOT(ISBLANK(D56)),_xlfn.CONCAT("'",A56,"': ",C56,D56,","),"")</f>
        <v/>
      </c>
    </row>
    <row r="57" spans="1:7">
      <c r="A57" t="s">
        <v>141</v>
      </c>
      <c r="B57" t="s">
        <v>371</v>
      </c>
      <c r="G57" t="str">
        <f>IF(NOT(ISBLANK(D57)),_xlfn.CONCAT("'",A57,"': ",C57,D57,","),"")</f>
        <v/>
      </c>
    </row>
    <row r="58" spans="1:7">
      <c r="A58" t="s">
        <v>142</v>
      </c>
      <c r="B58" t="s">
        <v>371</v>
      </c>
      <c r="G58" t="str">
        <f>IF(NOT(ISBLANK(D58)),_xlfn.CONCAT("'",A58,"': ",C58,D58,","),"")</f>
        <v/>
      </c>
    </row>
    <row r="59" spans="1:7">
      <c r="A59" t="s">
        <v>143</v>
      </c>
      <c r="B59" t="s">
        <v>371</v>
      </c>
      <c r="G59" t="str">
        <f>IF(NOT(ISBLANK(D59)),_xlfn.CONCAT("'",A59,"': ",C59,D59,","),"")</f>
        <v/>
      </c>
    </row>
    <row r="60" spans="1:7">
      <c r="A60" t="s">
        <v>144</v>
      </c>
      <c r="B60" t="s">
        <v>371</v>
      </c>
      <c r="G60" t="str">
        <f>IF(NOT(ISBLANK(D60)),_xlfn.CONCAT("'",A60,"': ",C60,D60,","),"")</f>
        <v/>
      </c>
    </row>
    <row r="61" spans="1:7">
      <c r="A61" t="s">
        <v>145</v>
      </c>
      <c r="B61" t="s">
        <v>371</v>
      </c>
      <c r="G61" t="str">
        <f>IF(NOT(ISBLANK(D61)),_xlfn.CONCAT("'",A61,"': ",C61,D61,","),"")</f>
        <v/>
      </c>
    </row>
    <row r="62" spans="1:7">
      <c r="A62" t="s">
        <v>146</v>
      </c>
      <c r="B62" t="s">
        <v>371</v>
      </c>
      <c r="G62" t="str">
        <f>IF(NOT(ISBLANK(D62)),_xlfn.CONCAT("'",A62,"': ",C62,D62,","),"")</f>
        <v/>
      </c>
    </row>
    <row r="63" spans="1:7">
      <c r="A63" t="s">
        <v>147</v>
      </c>
      <c r="B63" t="s">
        <v>371</v>
      </c>
      <c r="G63" t="str">
        <f>IF(NOT(ISBLANK(D63)),_xlfn.CONCAT("'",A63,"': ",C63,D63,","),"")</f>
        <v/>
      </c>
    </row>
    <row r="64" spans="1:7">
      <c r="A64" t="s">
        <v>148</v>
      </c>
      <c r="B64" t="s">
        <v>371</v>
      </c>
      <c r="G64" t="str">
        <f>IF(NOT(ISBLANK(D64)),_xlfn.CONCAT("'",A64,"': ",C64,D64,","),"")</f>
        <v/>
      </c>
    </row>
    <row r="65" spans="1:7">
      <c r="A65" t="s">
        <v>149</v>
      </c>
      <c r="B65" t="s">
        <v>371</v>
      </c>
      <c r="G65" t="str">
        <f>IF(NOT(ISBLANK(D65)),_xlfn.CONCAT("'",A65,"': ",C65,D65,","),"")</f>
        <v/>
      </c>
    </row>
    <row r="66" spans="1:7">
      <c r="A66" t="s">
        <v>150</v>
      </c>
      <c r="B66" t="s">
        <v>371</v>
      </c>
      <c r="G66" t="str">
        <f>IF(NOT(ISBLANK(D66)),_xlfn.CONCAT("'",A66,"': ",C66,D66,","),"")</f>
        <v/>
      </c>
    </row>
    <row r="67" spans="1:7">
      <c r="A67" t="s">
        <v>151</v>
      </c>
      <c r="B67" t="s">
        <v>371</v>
      </c>
      <c r="G67" t="str">
        <f>IF(NOT(ISBLANK(D67)),_xlfn.CONCAT("'",A67,"': ",C67,D67,","),"")</f>
        <v/>
      </c>
    </row>
    <row r="68" spans="1:7">
      <c r="A68" t="s">
        <v>152</v>
      </c>
      <c r="B68" t="s">
        <v>371</v>
      </c>
      <c r="G68" t="str">
        <f>IF(NOT(ISBLANK(D68)),_xlfn.CONCAT("'",A68,"': ",C68,D68,","),"")</f>
        <v/>
      </c>
    </row>
    <row r="69" spans="1:7">
      <c r="A69" t="s">
        <v>153</v>
      </c>
      <c r="B69" t="s">
        <v>371</v>
      </c>
      <c r="G69" t="str">
        <f>IF(NOT(ISBLANK(D69)),_xlfn.CONCAT("'",A69,"': ",C69,D69,","),"")</f>
        <v/>
      </c>
    </row>
    <row r="70" spans="1:7">
      <c r="A70" t="s">
        <v>154</v>
      </c>
      <c r="B70" t="s">
        <v>371</v>
      </c>
      <c r="G70" t="str">
        <f>IF(NOT(ISBLANK(D70)),_xlfn.CONCAT("'",A70,"': ",C70,D70,","),"")</f>
        <v/>
      </c>
    </row>
    <row r="71" spans="1:7">
      <c r="A71" t="s">
        <v>156</v>
      </c>
      <c r="B71" t="s">
        <v>371</v>
      </c>
      <c r="G71" t="str">
        <f>IF(NOT(ISBLANK(D71)),_xlfn.CONCAT("'",A71,"': ",C71,D71,","),"")</f>
        <v/>
      </c>
    </row>
    <row r="72" spans="1:7">
      <c r="A72" t="s">
        <v>157</v>
      </c>
      <c r="B72" t="s">
        <v>371</v>
      </c>
      <c r="G72" t="str">
        <f>IF(NOT(ISBLANK(D72)),_xlfn.CONCAT("'",A72,"': ",C72,D72,","),"")</f>
        <v/>
      </c>
    </row>
    <row r="73" spans="1:7">
      <c r="A73" t="s">
        <v>158</v>
      </c>
      <c r="B73" t="s">
        <v>371</v>
      </c>
      <c r="G73" t="str">
        <f>IF(NOT(ISBLANK(D73)),_xlfn.CONCAT("'",A73,"': ",C73,D73,","),"")</f>
        <v/>
      </c>
    </row>
    <row r="74" spans="1:7">
      <c r="A74" t="s">
        <v>159</v>
      </c>
      <c r="B74" t="s">
        <v>371</v>
      </c>
      <c r="G74" t="str">
        <f>IF(NOT(ISBLANK(D74)),_xlfn.CONCAT("'",A74,"': ",C74,D74,","),"")</f>
        <v/>
      </c>
    </row>
    <row r="75" spans="1:7">
      <c r="A75" t="s">
        <v>160</v>
      </c>
      <c r="B75" t="s">
        <v>371</v>
      </c>
      <c r="G75" t="str">
        <f>IF(NOT(ISBLANK(D75)),_xlfn.CONCAT("'",A75,"': ",C75,D75,","),"")</f>
        <v/>
      </c>
    </row>
    <row r="76" spans="1:7">
      <c r="A76" t="s">
        <v>161</v>
      </c>
      <c r="B76" t="s">
        <v>371</v>
      </c>
      <c r="G76" t="str">
        <f>IF(NOT(ISBLANK(D76)),_xlfn.CONCAT("'",A76,"': ",C76,D76,","),"")</f>
        <v/>
      </c>
    </row>
    <row r="77" spans="1:7">
      <c r="A77" t="s">
        <v>162</v>
      </c>
      <c r="B77" t="s">
        <v>371</v>
      </c>
      <c r="G77" t="str">
        <f>IF(NOT(ISBLANK(D77)),_xlfn.CONCAT("'",A77,"': ",C77,D77,","),"")</f>
        <v/>
      </c>
    </row>
    <row r="78" spans="1:7">
      <c r="A78" t="s">
        <v>163</v>
      </c>
      <c r="B78" t="s">
        <v>371</v>
      </c>
      <c r="G78" t="str">
        <f>IF(NOT(ISBLANK(D78)),_xlfn.CONCAT("'",A78,"': ",C78,D78,","),"")</f>
        <v/>
      </c>
    </row>
    <row r="79" spans="1:7">
      <c r="A79" t="s">
        <v>164</v>
      </c>
      <c r="B79" t="s">
        <v>371</v>
      </c>
      <c r="G79" t="str">
        <f>IF(NOT(ISBLANK(D79)),_xlfn.CONCAT("'",A79,"': ",C79,D79,","),"")</f>
        <v/>
      </c>
    </row>
    <row r="80" spans="1:7">
      <c r="A80" t="s">
        <v>165</v>
      </c>
      <c r="B80" t="s">
        <v>371</v>
      </c>
      <c r="G80" t="str">
        <f>IF(NOT(ISBLANK(D80)),_xlfn.CONCAT("'",A80,"': ",C80,D80,","),"")</f>
        <v/>
      </c>
    </row>
    <row r="81" spans="1:7">
      <c r="A81" t="s">
        <v>166</v>
      </c>
      <c r="B81" t="s">
        <v>371</v>
      </c>
      <c r="G81" t="str">
        <f>IF(NOT(ISBLANK(D81)),_xlfn.CONCAT("'",A81,"': ",C81,D81,","),"")</f>
        <v/>
      </c>
    </row>
    <row r="82" spans="1:7">
      <c r="A82" t="s">
        <v>167</v>
      </c>
      <c r="B82" t="s">
        <v>371</v>
      </c>
      <c r="G82" t="str">
        <f>IF(NOT(ISBLANK(D82)),_xlfn.CONCAT("'",A82,"': ",C82,D82,","),"")</f>
        <v/>
      </c>
    </row>
    <row r="83" spans="1:7">
      <c r="A83" t="s">
        <v>215</v>
      </c>
      <c r="B83" t="s">
        <v>371</v>
      </c>
      <c r="G83" t="str">
        <f>IF(NOT(ISBLANK(D83)),_xlfn.CONCAT("'",A83,"': ",C83,D83,","),"")</f>
        <v/>
      </c>
    </row>
    <row r="84" spans="1:7">
      <c r="A84" t="s">
        <v>216</v>
      </c>
      <c r="B84" t="s">
        <v>371</v>
      </c>
      <c r="G84" t="str">
        <f>IF(NOT(ISBLANK(D84)),_xlfn.CONCAT("'",A84,"': ",C84,D84,","),"")</f>
        <v/>
      </c>
    </row>
    <row r="85" spans="1:7">
      <c r="A85" t="s">
        <v>217</v>
      </c>
      <c r="B85" t="s">
        <v>371</v>
      </c>
      <c r="G85" t="str">
        <f>IF(NOT(ISBLANK(D85)),_xlfn.CONCAT("'",A85,"': ",C85,D85,","),"")</f>
        <v/>
      </c>
    </row>
    <row r="86" spans="1:7">
      <c r="A86" t="s">
        <v>218</v>
      </c>
      <c r="B86" t="s">
        <v>371</v>
      </c>
      <c r="G86" t="str">
        <f>IF(NOT(ISBLANK(D86)),_xlfn.CONCAT("'",A86,"': ",C86,D86,","),"")</f>
        <v/>
      </c>
    </row>
    <row r="87" spans="1:7">
      <c r="A87" t="s">
        <v>219</v>
      </c>
      <c r="B87" t="s">
        <v>371</v>
      </c>
      <c r="G87" t="str">
        <f>IF(NOT(ISBLANK(D87)),_xlfn.CONCAT("'",A87,"': ",C87,D87,","),"")</f>
        <v/>
      </c>
    </row>
    <row r="88" spans="1:7">
      <c r="A88" t="s">
        <v>220</v>
      </c>
      <c r="B88" t="s">
        <v>371</v>
      </c>
      <c r="G88" t="str">
        <f>IF(NOT(ISBLANK(D88)),_xlfn.CONCAT("'",A88,"': ",C88,D88,","),"")</f>
        <v/>
      </c>
    </row>
    <row r="89" spans="1:7">
      <c r="A89" t="s">
        <v>221</v>
      </c>
      <c r="B89" t="s">
        <v>371</v>
      </c>
      <c r="G89" t="str">
        <f>IF(NOT(ISBLANK(D89)),_xlfn.CONCAT("'",A89,"': ",C89,D89,","),"")</f>
        <v/>
      </c>
    </row>
    <row r="90" spans="1:7">
      <c r="A90" t="s">
        <v>222</v>
      </c>
      <c r="B90" t="s">
        <v>371</v>
      </c>
      <c r="G90" t="str">
        <f>IF(NOT(ISBLANK(D90)),_xlfn.CONCAT("'",A90,"': ",C90,D90,","),"")</f>
        <v/>
      </c>
    </row>
    <row r="91" spans="1:7">
      <c r="A91" t="s">
        <v>223</v>
      </c>
      <c r="B91" t="s">
        <v>371</v>
      </c>
      <c r="G91" t="str">
        <f>IF(NOT(ISBLANK(D91)),_xlfn.CONCAT("'",A91,"': ",C91,D91,","),"")</f>
        <v/>
      </c>
    </row>
    <row r="92" spans="1:7">
      <c r="A92" t="s">
        <v>231</v>
      </c>
      <c r="B92" t="s">
        <v>371</v>
      </c>
      <c r="G92" t="str">
        <f>IF(NOT(ISBLANK(D92)),_xlfn.CONCAT("'",A92,"': ",C92,D92,","),"")</f>
        <v/>
      </c>
    </row>
    <row r="93" spans="1:7">
      <c r="A93" t="s">
        <v>272</v>
      </c>
      <c r="B93" t="s">
        <v>371</v>
      </c>
      <c r="G93" t="str">
        <f>IF(NOT(ISBLANK(D93)),_xlfn.CONCAT("'",A93,"': ",C93,D93,","),"")</f>
        <v/>
      </c>
    </row>
    <row r="94" spans="1:7">
      <c r="A94" t="s">
        <v>273</v>
      </c>
      <c r="B94" t="s">
        <v>371</v>
      </c>
      <c r="G94" t="str">
        <f>IF(NOT(ISBLANK(D94)),_xlfn.CONCAT("'",A94,"': ",C94,D94,","),"")</f>
        <v/>
      </c>
    </row>
    <row r="95" spans="1:7">
      <c r="A95" t="s">
        <v>274</v>
      </c>
      <c r="B95" t="s">
        <v>371</v>
      </c>
      <c r="G95" t="str">
        <f>IF(NOT(ISBLANK(D95)),_xlfn.CONCAT("'",A95,"': ",C95,D95,","),"")</f>
        <v/>
      </c>
    </row>
    <row r="96" spans="1:7">
      <c r="A96" t="s">
        <v>275</v>
      </c>
      <c r="B96" t="s">
        <v>371</v>
      </c>
      <c r="G96" t="str">
        <f>IF(NOT(ISBLANK(D96)),_xlfn.CONCAT("'",A96,"': ",C96,D96,","),"")</f>
        <v/>
      </c>
    </row>
    <row r="97" spans="1:7">
      <c r="A97" t="s">
        <v>276</v>
      </c>
      <c r="B97" t="s">
        <v>371</v>
      </c>
      <c r="G97" t="str">
        <f>IF(NOT(ISBLANK(D97)),_xlfn.CONCAT("'",A97,"': ",C97,D97,","),"")</f>
        <v/>
      </c>
    </row>
    <row r="98" spans="1:7">
      <c r="A98" t="s">
        <v>277</v>
      </c>
      <c r="B98" t="s">
        <v>371</v>
      </c>
      <c r="G98" t="str">
        <f>IF(NOT(ISBLANK(D98)),_xlfn.CONCAT("'",A98,"': ",C98,D98,","),"")</f>
        <v/>
      </c>
    </row>
    <row r="99" spans="1:7">
      <c r="A99" t="s">
        <v>278</v>
      </c>
      <c r="B99" t="s">
        <v>371</v>
      </c>
      <c r="G99" t="str">
        <f>IF(NOT(ISBLANK(D99)),_xlfn.CONCAT("'",A99,"': ",C99,D99,","),"")</f>
        <v/>
      </c>
    </row>
    <row r="100" spans="1:7">
      <c r="A100" t="s">
        <v>279</v>
      </c>
      <c r="B100" t="s">
        <v>371</v>
      </c>
      <c r="G100" t="str">
        <f>IF(NOT(ISBLANK(D100)),_xlfn.CONCAT("'",A100,"': ",C100,D100,","),"")</f>
        <v/>
      </c>
    </row>
    <row r="101" spans="1:7">
      <c r="A101" t="s">
        <v>280</v>
      </c>
      <c r="B101" t="s">
        <v>371</v>
      </c>
      <c r="G101" t="str">
        <f>IF(NOT(ISBLANK(D101)),_xlfn.CONCAT("'",A101,"': ",C101,D101,","),"")</f>
        <v/>
      </c>
    </row>
    <row r="102" spans="1:7">
      <c r="A102" t="s">
        <v>281</v>
      </c>
      <c r="B102" t="s">
        <v>371</v>
      </c>
      <c r="G102" t="str">
        <f>IF(NOT(ISBLANK(D102)),_xlfn.CONCAT("'",A102,"': ",C102,D102,","),"")</f>
        <v/>
      </c>
    </row>
    <row r="103" spans="1:7">
      <c r="A103" t="s">
        <v>282</v>
      </c>
      <c r="B103" t="s">
        <v>371</v>
      </c>
      <c r="G103" t="str">
        <f>IF(NOT(ISBLANK(D103)),_xlfn.CONCAT("'",A103,"': ",C103,D103,","),"")</f>
        <v/>
      </c>
    </row>
    <row r="104" spans="1:7">
      <c r="A104" t="s">
        <v>283</v>
      </c>
      <c r="B104" t="s">
        <v>371</v>
      </c>
      <c r="G104" t="str">
        <f>IF(NOT(ISBLANK(D104)),_xlfn.CONCAT("'",A104,"': ",C104,D104,","),"")</f>
        <v/>
      </c>
    </row>
    <row r="105" spans="1:7">
      <c r="A105" t="s">
        <v>285</v>
      </c>
      <c r="B105" t="s">
        <v>371</v>
      </c>
      <c r="G105" t="str">
        <f>IF(NOT(ISBLANK(D105)),_xlfn.CONCAT("'",A105,"': ",C105,D105,","),"")</f>
        <v/>
      </c>
    </row>
    <row r="106" spans="1:7">
      <c r="A106" t="s">
        <v>286</v>
      </c>
      <c r="B106" t="s">
        <v>371</v>
      </c>
      <c r="G106" t="str">
        <f>IF(NOT(ISBLANK(D106)),_xlfn.CONCAT("'",A106,"': ",C106,D106,","),"")</f>
        <v/>
      </c>
    </row>
    <row r="107" spans="1:7">
      <c r="A107" t="s">
        <v>287</v>
      </c>
      <c r="B107" t="s">
        <v>371</v>
      </c>
      <c r="G107" t="str">
        <f>IF(NOT(ISBLANK(D107)),_xlfn.CONCAT("'",A107,"': ",C107,D107,","),"")</f>
        <v/>
      </c>
    </row>
    <row r="108" spans="1:7">
      <c r="A108" t="s">
        <v>288</v>
      </c>
      <c r="B108" t="s">
        <v>371</v>
      </c>
      <c r="G108" t="str">
        <f>IF(NOT(ISBLANK(D108)),_xlfn.CONCAT("'",A108,"': ",C108,D108,","),"")</f>
        <v/>
      </c>
    </row>
    <row r="109" spans="1:7">
      <c r="A109" t="s">
        <v>289</v>
      </c>
      <c r="B109" t="s">
        <v>371</v>
      </c>
      <c r="G109" t="str">
        <f>IF(NOT(ISBLANK(D109)),_xlfn.CONCAT("'",A109,"': ",C109,D109,","),"")</f>
        <v/>
      </c>
    </row>
    <row r="110" spans="1:7">
      <c r="A110" t="s">
        <v>290</v>
      </c>
      <c r="B110" t="s">
        <v>371</v>
      </c>
      <c r="G110" t="str">
        <f>IF(NOT(ISBLANK(D110)),_xlfn.CONCAT("'",A110,"': ",C110,D110,","),"")</f>
        <v/>
      </c>
    </row>
    <row r="111" spans="1:7">
      <c r="A111" t="s">
        <v>293</v>
      </c>
      <c r="B111" t="s">
        <v>371</v>
      </c>
      <c r="G111" t="str">
        <f>IF(NOT(ISBLANK(D111)),_xlfn.CONCAT("'",A111,"': ",C111,D111,","),"")</f>
        <v/>
      </c>
    </row>
    <row r="112" spans="1:7">
      <c r="A112" t="s">
        <v>296</v>
      </c>
      <c r="B112" t="s">
        <v>371</v>
      </c>
      <c r="G112" t="str">
        <f>IF(NOT(ISBLANK(D112)),_xlfn.CONCAT("'",A112,"': ",C112,D112,","),"")</f>
        <v/>
      </c>
    </row>
    <row r="113" spans="1:7">
      <c r="A113" t="s">
        <v>297</v>
      </c>
      <c r="B113" t="s">
        <v>371</v>
      </c>
      <c r="G113" t="str">
        <f>IF(NOT(ISBLANK(D113)),_xlfn.CONCAT("'",A113,"': ",C113,D113,","),"")</f>
        <v/>
      </c>
    </row>
    <row r="114" spans="1:7">
      <c r="A114" t="s">
        <v>298</v>
      </c>
      <c r="B114" t="s">
        <v>371</v>
      </c>
      <c r="G114" t="str">
        <f>IF(NOT(ISBLANK(D114)),_xlfn.CONCAT("'",A114,"': ",C114,D114,","),"")</f>
        <v/>
      </c>
    </row>
    <row r="115" spans="1:7">
      <c r="A115" t="s">
        <v>299</v>
      </c>
      <c r="B115" t="s">
        <v>371</v>
      </c>
      <c r="G115" t="str">
        <f>IF(NOT(ISBLANK(D115)),_xlfn.CONCAT("'",A115,"': ",C115,D115,","),"")</f>
        <v/>
      </c>
    </row>
    <row r="116" spans="1:7">
      <c r="A116" t="s">
        <v>300</v>
      </c>
      <c r="B116" t="s">
        <v>371</v>
      </c>
      <c r="G116" t="str">
        <f>IF(NOT(ISBLANK(D116)),_xlfn.CONCAT("'",A116,"': ",C116,D116,","),"")</f>
        <v/>
      </c>
    </row>
    <row r="117" spans="1:7">
      <c r="A117" t="s">
        <v>301</v>
      </c>
      <c r="B117" t="s">
        <v>371</v>
      </c>
      <c r="G117" t="str">
        <f>IF(NOT(ISBLANK(D117)),_xlfn.CONCAT("'",A117,"': ",C117,D117,","),"")</f>
        <v/>
      </c>
    </row>
    <row r="118" spans="1:7">
      <c r="A118" t="s">
        <v>302</v>
      </c>
      <c r="B118" t="s">
        <v>371</v>
      </c>
      <c r="G118" t="str">
        <f>IF(NOT(ISBLANK(D118)),_xlfn.CONCAT("'",A118,"': ",C118,D118,","),"")</f>
        <v/>
      </c>
    </row>
    <row r="119" spans="1:7">
      <c r="A119" t="s">
        <v>303</v>
      </c>
      <c r="B119" t="s">
        <v>371</v>
      </c>
      <c r="G119" t="str">
        <f>IF(NOT(ISBLANK(D119)),_xlfn.CONCAT("'",A119,"': ",C119,D119,","),"")</f>
        <v/>
      </c>
    </row>
    <row r="120" spans="1:7">
      <c r="A120" t="s">
        <v>304</v>
      </c>
      <c r="B120" t="s">
        <v>371</v>
      </c>
      <c r="G120" t="str">
        <f>IF(NOT(ISBLANK(D120)),_xlfn.CONCAT("'",A120,"': ",C120,D120,","),"")</f>
        <v/>
      </c>
    </row>
    <row r="121" spans="1:7">
      <c r="A121" t="s">
        <v>305</v>
      </c>
      <c r="B121" t="s">
        <v>371</v>
      </c>
      <c r="G121" t="str">
        <f>IF(NOT(ISBLANK(D121)),_xlfn.CONCAT("'",A121,"': ",C121,D121,","),"")</f>
        <v/>
      </c>
    </row>
    <row r="122" spans="1:7">
      <c r="A122" t="s">
        <v>306</v>
      </c>
      <c r="B122" t="s">
        <v>371</v>
      </c>
      <c r="G122" t="str">
        <f>IF(NOT(ISBLANK(D122)),_xlfn.CONCAT("'",A122,"': ",C122,D122,","),"")</f>
        <v/>
      </c>
    </row>
    <row r="123" spans="1:7">
      <c r="A123" t="s">
        <v>307</v>
      </c>
      <c r="B123" t="s">
        <v>371</v>
      </c>
      <c r="G123" t="str">
        <f>IF(NOT(ISBLANK(D123)),_xlfn.CONCAT("'",A123,"': ",C123,D123,","),"")</f>
        <v/>
      </c>
    </row>
    <row r="124" spans="1:7">
      <c r="A124" t="s">
        <v>308</v>
      </c>
      <c r="B124" t="s">
        <v>371</v>
      </c>
      <c r="G124" t="str">
        <f>IF(NOT(ISBLANK(D124)),_xlfn.CONCAT("'",A124,"': ",C124,D124,","),"")</f>
        <v/>
      </c>
    </row>
    <row r="125" spans="1:7">
      <c r="A125" t="s">
        <v>315</v>
      </c>
      <c r="B125" t="s">
        <v>371</v>
      </c>
    </row>
    <row r="126" spans="1:7">
      <c r="A126" t="s">
        <v>316</v>
      </c>
      <c r="B126" t="s">
        <v>371</v>
      </c>
    </row>
    <row r="127" spans="1:7">
      <c r="A127" t="s">
        <v>317</v>
      </c>
      <c r="B127" t="s">
        <v>371</v>
      </c>
    </row>
    <row r="128" spans="1:7">
      <c r="A128" t="s">
        <v>318</v>
      </c>
      <c r="B128" t="s">
        <v>371</v>
      </c>
    </row>
    <row r="129" spans="1:7">
      <c r="A129" t="s">
        <v>319</v>
      </c>
      <c r="B129" t="s">
        <v>371</v>
      </c>
    </row>
    <row r="130" spans="1:7">
      <c r="A130" t="s">
        <v>320</v>
      </c>
      <c r="B130" t="s">
        <v>371</v>
      </c>
    </row>
    <row r="131" spans="1:7">
      <c r="A131" t="s">
        <v>321</v>
      </c>
      <c r="B131" t="s">
        <v>371</v>
      </c>
    </row>
    <row r="132" spans="1:7">
      <c r="A132" t="s">
        <v>322</v>
      </c>
      <c r="B132" t="s">
        <v>371</v>
      </c>
    </row>
    <row r="133" spans="1:7">
      <c r="A133" t="s">
        <v>323</v>
      </c>
      <c r="B133" t="s">
        <v>371</v>
      </c>
    </row>
    <row r="134" spans="1:7">
      <c r="A134" t="s">
        <v>324</v>
      </c>
      <c r="B134" t="s">
        <v>371</v>
      </c>
    </row>
    <row r="135" spans="1:7">
      <c r="A135" t="s">
        <v>325</v>
      </c>
      <c r="B135" t="s">
        <v>371</v>
      </c>
    </row>
    <row r="136" spans="1:7">
      <c r="A136" t="s">
        <v>326</v>
      </c>
      <c r="B136" t="s">
        <v>371</v>
      </c>
    </row>
    <row r="137" spans="1:7">
      <c r="A137" t="s">
        <v>327</v>
      </c>
      <c r="B137" t="s">
        <v>371</v>
      </c>
    </row>
    <row r="138" spans="1:7">
      <c r="A138" t="s">
        <v>328</v>
      </c>
      <c r="B138" t="s">
        <v>371</v>
      </c>
    </row>
    <row r="139" spans="1:7">
      <c r="A139" t="s">
        <v>329</v>
      </c>
      <c r="B139" t="s">
        <v>371</v>
      </c>
    </row>
    <row r="140" spans="1:7">
      <c r="A140" t="s">
        <v>331</v>
      </c>
      <c r="B140" t="s">
        <v>371</v>
      </c>
    </row>
    <row r="141" spans="1:7">
      <c r="A141" t="s">
        <v>96</v>
      </c>
      <c r="B141" t="s">
        <v>103</v>
      </c>
      <c r="G141" t="str">
        <f>IF(NOT(ISBLANK(D141)),_xlfn.CONCAT("'",A141,"': ",C141,D141,","),"")</f>
        <v/>
      </c>
    </row>
    <row r="142" spans="1:7">
      <c r="A142" t="s">
        <v>97</v>
      </c>
      <c r="B142" t="s">
        <v>103</v>
      </c>
      <c r="G142" t="str">
        <f>IF(NOT(ISBLANK(D142)),_xlfn.CONCAT("'",A142,"': ",C142,D142,","),"")</f>
        <v/>
      </c>
    </row>
    <row r="143" spans="1:7">
      <c r="A143" t="s">
        <v>99</v>
      </c>
      <c r="B143" t="s">
        <v>103</v>
      </c>
      <c r="G143" t="str">
        <f>IF(NOT(ISBLANK(D143)),_xlfn.CONCAT("'",A143,"': ",C143,D143,","),"")</f>
        <v/>
      </c>
    </row>
    <row r="144" spans="1:7">
      <c r="A144" t="s">
        <v>100</v>
      </c>
      <c r="B144" t="s">
        <v>103</v>
      </c>
      <c r="G144" t="str">
        <f>IF(NOT(ISBLANK(D144)),_xlfn.CONCAT("'",A144,"': ",C144,D144,","),"")</f>
        <v/>
      </c>
    </row>
    <row r="145" spans="1:7">
      <c r="A145" t="s">
        <v>101</v>
      </c>
      <c r="B145" t="s">
        <v>103</v>
      </c>
      <c r="G145" t="str">
        <f>IF(NOT(ISBLANK(D145)),_xlfn.CONCAT("'",A145,"': ",C145,D145,","),"")</f>
        <v/>
      </c>
    </row>
    <row r="146" spans="1:7">
      <c r="A146" t="s">
        <v>102</v>
      </c>
      <c r="B146" t="s">
        <v>103</v>
      </c>
      <c r="G146" t="str">
        <f>IF(NOT(ISBLANK(D146)),_xlfn.CONCAT("'",A146,"': ",C146,D146,","),"")</f>
        <v/>
      </c>
    </row>
    <row r="147" spans="1:7">
      <c r="A147" t="s">
        <v>103</v>
      </c>
      <c r="B147" t="s">
        <v>103</v>
      </c>
      <c r="G147" t="str">
        <f>IF(NOT(ISBLANK(D147)),_xlfn.CONCAT("'",A147,"': ",C147,D147,","),"")</f>
        <v/>
      </c>
    </row>
    <row r="148" spans="1:7">
      <c r="A148" t="s">
        <v>117</v>
      </c>
      <c r="B148" t="s">
        <v>103</v>
      </c>
      <c r="G148" t="str">
        <f>IF(NOT(ISBLANK(D148)),_xlfn.CONCAT("'",A148,"': ",C148,D148,","),"")</f>
        <v/>
      </c>
    </row>
    <row r="149" spans="1:7">
      <c r="A149" t="s">
        <v>104</v>
      </c>
      <c r="B149" t="s">
        <v>374</v>
      </c>
      <c r="G149" t="str">
        <f>IF(NOT(ISBLANK(D149)),_xlfn.CONCAT("'",A149,"': ",C149,D149,","),"")</f>
        <v/>
      </c>
    </row>
    <row r="150" spans="1:7">
      <c r="A150" t="s">
        <v>0</v>
      </c>
      <c r="B150" t="s">
        <v>378</v>
      </c>
      <c r="D150" t="s">
        <v>415</v>
      </c>
      <c r="G150" t="str">
        <f>IF(NOT(ISBLANK(D150)),_xlfn.CONCAT("'",A150,"': ",C150,D150,","),"")</f>
        <v>'ClassLevel': str(character.charClass.name) + " " + str(character.level),</v>
      </c>
    </row>
    <row r="151" spans="1:7">
      <c r="A151" t="s">
        <v>1</v>
      </c>
      <c r="B151" t="s">
        <v>378</v>
      </c>
      <c r="C151" t="s">
        <v>340</v>
      </c>
      <c r="D151" t="s">
        <v>332</v>
      </c>
      <c r="G151" t="str">
        <f>IF(NOT(ISBLANK(D151)),_xlfn.CONCAT("'",A151,"': ",C151,D151,","),"")</f>
        <v>'Background': character.background.name,</v>
      </c>
    </row>
    <row r="152" spans="1:7">
      <c r="A152" t="s">
        <v>2</v>
      </c>
      <c r="B152" t="s">
        <v>378</v>
      </c>
      <c r="C152" t="s">
        <v>340</v>
      </c>
      <c r="D152" t="s">
        <v>333</v>
      </c>
      <c r="F152" t="s">
        <v>335</v>
      </c>
      <c r="G152" t="str">
        <f>IF(NOT(ISBLANK(D152)),_xlfn.CONCAT("'",A152,"': ",C152,D152,","),"")</f>
        <v>'PlayerName': character.rank,</v>
      </c>
    </row>
    <row r="153" spans="1:7">
      <c r="A153" t="s">
        <v>3</v>
      </c>
      <c r="B153" t="s">
        <v>378</v>
      </c>
      <c r="C153" t="s">
        <v>340</v>
      </c>
      <c r="D153" t="s">
        <v>336</v>
      </c>
      <c r="G153" t="str">
        <f>IF(NOT(ISBLANK(D153)),_xlfn.CONCAT("'",A153,"': ",C153,D153,","),"")</f>
        <v>'CharacterName': character.name,</v>
      </c>
    </row>
    <row r="154" spans="1:7">
      <c r="A154" t="s">
        <v>416</v>
      </c>
      <c r="B154" t="s">
        <v>378</v>
      </c>
      <c r="C154" t="s">
        <v>340</v>
      </c>
      <c r="D154" t="s">
        <v>337</v>
      </c>
      <c r="F154" t="s">
        <v>417</v>
      </c>
      <c r="G154" t="str">
        <f>IF(NOT(ISBLANK(D154)),_xlfn.CONCAT("'",A154,"': ",C154,D154,","),"")</f>
        <v>'Race ': character.race.name,</v>
      </c>
    </row>
    <row r="155" spans="1:7">
      <c r="A155" t="s">
        <v>5</v>
      </c>
      <c r="B155" t="s">
        <v>378</v>
      </c>
      <c r="E155" t="s">
        <v>339</v>
      </c>
      <c r="G155" t="str">
        <f>IF(NOT(ISBLANK(D155)),_xlfn.CONCAT("'",A155,"': ",C155,D155,","),"")</f>
        <v/>
      </c>
    </row>
    <row r="156" spans="1:7">
      <c r="A156" t="s">
        <v>6</v>
      </c>
      <c r="B156" t="s">
        <v>378</v>
      </c>
      <c r="E156" t="s">
        <v>339</v>
      </c>
      <c r="G156" t="str">
        <f>IF(NOT(ISBLANK(D156)),_xlfn.CONCAT("'",A156,"': ",C156,D156,","),"")</f>
        <v/>
      </c>
    </row>
    <row r="157" spans="1:7">
      <c r="A157" t="s">
        <v>8</v>
      </c>
      <c r="B157" t="s">
        <v>378</v>
      </c>
      <c r="D157" t="s">
        <v>394</v>
      </c>
      <c r="G157" t="str">
        <f>IF(NOT(ISBLANK(D157)),_xlfn.CONCAT("'",A157,"': ",C157,D157,","),"")</f>
        <v>'ProfBonus': str(character.profBonus),</v>
      </c>
    </row>
    <row r="158" spans="1:7">
      <c r="A158" t="s">
        <v>9</v>
      </c>
      <c r="B158" t="s">
        <v>378</v>
      </c>
      <c r="G158" t="str">
        <f>IF(NOT(ISBLANK(D158)),_xlfn.CONCAT("'",A158,"': ",C158,D158,","),"")</f>
        <v/>
      </c>
    </row>
    <row r="159" spans="1:7">
      <c r="A159" t="s">
        <v>10</v>
      </c>
      <c r="B159" t="s">
        <v>378</v>
      </c>
      <c r="G159" t="str">
        <f>IF(NOT(ISBLANK(D159)),_xlfn.CONCAT("'",A159,"': ",C159,D159,","),"")</f>
        <v/>
      </c>
    </row>
    <row r="160" spans="1:7">
      <c r="A160" t="s">
        <v>11</v>
      </c>
      <c r="B160" t="s">
        <v>378</v>
      </c>
      <c r="D160" t="s">
        <v>395</v>
      </c>
      <c r="G160" t="str">
        <f>IF(NOT(ISBLANK(D160)),_xlfn.CONCAT("'",A160,"': ",C160,D160,","),"")</f>
        <v>'Speed': str(character.speed) + " ft.",</v>
      </c>
    </row>
    <row r="161" spans="1:7">
      <c r="A161" t="s">
        <v>14</v>
      </c>
      <c r="B161" t="s">
        <v>378</v>
      </c>
      <c r="D161" t="s">
        <v>396</v>
      </c>
      <c r="G161" t="str">
        <f>IF(NOT(ISBLANK(D161)),_xlfn.CONCAT("'",A161,"': ",C161,D161,","),"")</f>
        <v>'HPMax': str(character.HP),</v>
      </c>
    </row>
    <row r="162" spans="1:7">
      <c r="A162" t="s">
        <v>17</v>
      </c>
      <c r="B162" t="s">
        <v>378</v>
      </c>
      <c r="D162" t="s">
        <v>396</v>
      </c>
      <c r="G162" t="str">
        <f>IF(NOT(ISBLANK(D162)),_xlfn.CONCAT("'",A162,"': ",C162,D162,","),"")</f>
        <v>'HPCurrent': str(character.HP),</v>
      </c>
    </row>
    <row r="163" spans="1:7">
      <c r="A163" t="s">
        <v>20</v>
      </c>
      <c r="B163" t="s">
        <v>378</v>
      </c>
      <c r="G163" t="str">
        <f>IF(NOT(ISBLANK(D163)),_xlfn.CONCAT("'",A163,"': ",C163,D163,","),"")</f>
        <v/>
      </c>
    </row>
    <row r="164" spans="1:7">
      <c r="A164" t="s">
        <v>23</v>
      </c>
      <c r="B164" t="s">
        <v>378</v>
      </c>
      <c r="G164" t="str">
        <f>IF(NOT(ISBLANK(D164)),_xlfn.CONCAT("'",A164,"': ",C164,D164,","),"")</f>
        <v/>
      </c>
    </row>
    <row r="165" spans="1:7">
      <c r="A165" t="s">
        <v>31</v>
      </c>
      <c r="B165" t="s">
        <v>378</v>
      </c>
      <c r="G165" t="str">
        <f>IF(NOT(ISBLANK(D165)),_xlfn.CONCAT("'",A165,"': ",C165,D165,","),"")</f>
        <v/>
      </c>
    </row>
    <row r="166" spans="1:7">
      <c r="A166" t="s">
        <v>105</v>
      </c>
      <c r="B166" t="s">
        <v>378</v>
      </c>
      <c r="G166" t="str">
        <f>IF(NOT(ISBLANK(D166)),_xlfn.CONCAT("'",A166,"': ",C166,D166,","),"")</f>
        <v/>
      </c>
    </row>
    <row r="167" spans="1:7">
      <c r="A167" t="s">
        <v>98</v>
      </c>
      <c r="B167" t="s">
        <v>373</v>
      </c>
      <c r="G167" t="str">
        <f>IF(NOT(ISBLANK(D167)),_xlfn.CONCAT("'",A167,"': ",C167,D167,","),"")</f>
        <v/>
      </c>
    </row>
    <row r="168" spans="1:7">
      <c r="A168" t="s">
        <v>15</v>
      </c>
      <c r="B168" t="s">
        <v>377</v>
      </c>
      <c r="G168" t="str">
        <f>IF(NOT(ISBLANK(D168)),_xlfn.CONCAT("'",A168,"': ",C168,D168,","),"")</f>
        <v/>
      </c>
    </row>
    <row r="169" spans="1:7">
      <c r="A169" t="s">
        <v>34</v>
      </c>
      <c r="B169" t="s">
        <v>377</v>
      </c>
      <c r="G169" t="str">
        <f>IF(NOT(ISBLANK(D169)),_xlfn.CONCAT("'",A169,"': ",C169,D169,","),"")</f>
        <v/>
      </c>
    </row>
    <row r="170" spans="1:7">
      <c r="A170" t="s">
        <v>35</v>
      </c>
      <c r="B170" t="s">
        <v>377</v>
      </c>
      <c r="G170" t="str">
        <f>IF(NOT(ISBLANK(D170)),_xlfn.CONCAT("'",A170,"': ",C170,D170,","),"")</f>
        <v/>
      </c>
    </row>
    <row r="171" spans="1:7">
      <c r="A171" t="s">
        <v>36</v>
      </c>
      <c r="B171" t="s">
        <v>377</v>
      </c>
      <c r="G171" t="str">
        <f>IF(NOT(ISBLANK(D171)),_xlfn.CONCAT("'",A171,"': ",C171,D171,","),"")</f>
        <v/>
      </c>
    </row>
    <row r="172" spans="1:7">
      <c r="A172" t="s">
        <v>37</v>
      </c>
      <c r="B172" t="s">
        <v>377</v>
      </c>
      <c r="G172" t="str">
        <f>IF(NOT(ISBLANK(D172)),_xlfn.CONCAT("'",A172,"': ",C172,D172,","),"")</f>
        <v/>
      </c>
    </row>
    <row r="173" spans="1:7">
      <c r="A173" t="s">
        <v>38</v>
      </c>
      <c r="B173" t="s">
        <v>377</v>
      </c>
      <c r="G173" t="str">
        <f>IF(NOT(ISBLANK(D173)),_xlfn.CONCAT("'",A173,"': ",C173,D173,","),"")</f>
        <v/>
      </c>
    </row>
    <row r="174" spans="1:7">
      <c r="A174" t="s">
        <v>59</v>
      </c>
      <c r="B174" t="s">
        <v>368</v>
      </c>
      <c r="G174" t="str">
        <f>IF(NOT(ISBLANK(D174)),_xlfn.CONCAT("'",A174,"': ",C174,D174,","),"")</f>
        <v/>
      </c>
    </row>
    <row r="175" spans="1:7">
      <c r="A175" t="s">
        <v>63</v>
      </c>
      <c r="B175" t="s">
        <v>368</v>
      </c>
      <c r="G175" t="str">
        <f>IF(NOT(ISBLANK(D175)),_xlfn.CONCAT("'",A175,"': ",C175,D175,","),"")</f>
        <v/>
      </c>
    </row>
    <row r="176" spans="1:7">
      <c r="A176" t="s">
        <v>65</v>
      </c>
      <c r="B176" t="s">
        <v>368</v>
      </c>
      <c r="G176" t="str">
        <f>IF(NOT(ISBLANK(D176)),_xlfn.CONCAT("'",A176,"': ",C176,D176,","),"")</f>
        <v/>
      </c>
    </row>
    <row r="177" spans="1:7">
      <c r="A177" t="s">
        <v>68</v>
      </c>
      <c r="B177" t="s">
        <v>368</v>
      </c>
      <c r="G177" t="str">
        <f>IF(NOT(ISBLANK(D177)),_xlfn.CONCAT("'",A177,"': ",C177,D177,","),"")</f>
        <v/>
      </c>
    </row>
    <row r="178" spans="1:7">
      <c r="A178" t="s">
        <v>69</v>
      </c>
      <c r="B178" t="s">
        <v>368</v>
      </c>
      <c r="G178" t="str">
        <f>IF(NOT(ISBLANK(D178)),_xlfn.CONCAT("'",A178,"': ",C178,D178,","),"")</f>
        <v/>
      </c>
    </row>
    <row r="179" spans="1:7">
      <c r="A179" t="s">
        <v>70</v>
      </c>
      <c r="B179" t="s">
        <v>368</v>
      </c>
      <c r="G179" t="str">
        <f>IF(NOT(ISBLANK(D179)),_xlfn.CONCAT("'",A179,"': ",C179,D179,","),"")</f>
        <v/>
      </c>
    </row>
    <row r="180" spans="1:7">
      <c r="A180" t="s">
        <v>71</v>
      </c>
      <c r="B180" t="s">
        <v>368</v>
      </c>
      <c r="G180" t="str">
        <f>IF(NOT(ISBLANK(D180)),_xlfn.CONCAT("'",A180,"': ",C180,D180,","),"")</f>
        <v/>
      </c>
    </row>
    <row r="181" spans="1:7">
      <c r="A181" t="s">
        <v>72</v>
      </c>
      <c r="B181" t="s">
        <v>368</v>
      </c>
      <c r="G181" t="str">
        <f>IF(NOT(ISBLANK(D181)),_xlfn.CONCAT("'",A181,"': ",C181,D181,","),"")</f>
        <v/>
      </c>
    </row>
    <row r="182" spans="1:7">
      <c r="A182" t="s">
        <v>91</v>
      </c>
      <c r="B182" t="s">
        <v>368</v>
      </c>
      <c r="G182" t="str">
        <f>IF(NOT(ISBLANK(D182)),_xlfn.CONCAT("'",A182,"': ",C182,D182,","),"")</f>
        <v/>
      </c>
    </row>
    <row r="183" spans="1:7">
      <c r="A183" t="s">
        <v>92</v>
      </c>
      <c r="B183" t="s">
        <v>368</v>
      </c>
      <c r="G183" t="str">
        <f>IF(NOT(ISBLANK(D183)),_xlfn.CONCAT("'",A183,"': ",C183,D183,","),"")</f>
        <v/>
      </c>
    </row>
    <row r="184" spans="1:7">
      <c r="A184" t="s">
        <v>94</v>
      </c>
      <c r="B184" t="s">
        <v>368</v>
      </c>
      <c r="G184" t="str">
        <f>IF(NOT(ISBLANK(D184)),_xlfn.CONCAT("'",A184,"': ",C184,D184,","),"")</f>
        <v/>
      </c>
    </row>
    <row r="185" spans="1:7">
      <c r="A185" t="s">
        <v>122</v>
      </c>
      <c r="B185" t="s">
        <v>376</v>
      </c>
      <c r="G185" t="str">
        <f>IF(NOT(ISBLANK(D185)),_xlfn.CONCAT("'",A185,"': ",C185,D185,","),"")</f>
        <v/>
      </c>
    </row>
    <row r="186" spans="1:7">
      <c r="A186" t="s">
        <v>123</v>
      </c>
      <c r="B186" t="s">
        <v>376</v>
      </c>
      <c r="G186" t="str">
        <f>IF(NOT(ISBLANK(D186)),_xlfn.CONCAT("'",A186,"': ",C186,D186,","),"")</f>
        <v/>
      </c>
    </row>
    <row r="187" spans="1:7">
      <c r="A187" t="s">
        <v>178</v>
      </c>
      <c r="B187" t="s">
        <v>376</v>
      </c>
      <c r="G187" t="str">
        <f>IF(NOT(ISBLANK(D187)),_xlfn.CONCAT("'",A187,"': ",C187,D187,","),"")</f>
        <v/>
      </c>
    </row>
    <row r="188" spans="1:7">
      <c r="A188" t="s">
        <v>179</v>
      </c>
      <c r="B188" t="s">
        <v>376</v>
      </c>
      <c r="G188" t="str">
        <f>IF(NOT(ISBLANK(D188)),_xlfn.CONCAT("'",A188,"': ",C188,D188,","),"")</f>
        <v/>
      </c>
    </row>
    <row r="189" spans="1:7">
      <c r="A189" t="s">
        <v>193</v>
      </c>
      <c r="B189" t="s">
        <v>376</v>
      </c>
      <c r="G189" t="str">
        <f>IF(NOT(ISBLANK(D189)),_xlfn.CONCAT("'",A189,"': ",C189,D189,","),"")</f>
        <v/>
      </c>
    </row>
    <row r="190" spans="1:7">
      <c r="A190" t="s">
        <v>194</v>
      </c>
      <c r="B190" t="s">
        <v>376</v>
      </c>
      <c r="G190" t="str">
        <f>IF(NOT(ISBLANK(D190)),_xlfn.CONCAT("'",A190,"': ",C190,D190,","),"")</f>
        <v/>
      </c>
    </row>
    <row r="191" spans="1:7">
      <c r="A191" t="s">
        <v>208</v>
      </c>
      <c r="B191" t="s">
        <v>376</v>
      </c>
      <c r="G191" t="str">
        <f>IF(NOT(ISBLANK(D191)),_xlfn.CONCAT("'",A191,"': ",C191,D191,","),"")</f>
        <v/>
      </c>
    </row>
    <row r="192" spans="1:7">
      <c r="A192" t="s">
        <v>209</v>
      </c>
      <c r="B192" t="s">
        <v>376</v>
      </c>
      <c r="G192" t="str">
        <f>IF(NOT(ISBLANK(D192)),_xlfn.CONCAT("'",A192,"': ",C192,D192,","),"")</f>
        <v/>
      </c>
    </row>
    <row r="193" spans="1:7">
      <c r="A193" t="s">
        <v>233</v>
      </c>
      <c r="B193" t="s">
        <v>376</v>
      </c>
      <c r="G193" t="str">
        <f>IF(NOT(ISBLANK(D193)),_xlfn.CONCAT("'",A193,"': ",C193,D193,","),"")</f>
        <v/>
      </c>
    </row>
    <row r="194" spans="1:7">
      <c r="A194" t="s">
        <v>234</v>
      </c>
      <c r="B194" t="s">
        <v>376</v>
      </c>
      <c r="G194" t="str">
        <f>IF(NOT(ISBLANK(D194)),_xlfn.CONCAT("'",A194,"': ",C194,D194,","),"")</f>
        <v/>
      </c>
    </row>
    <row r="195" spans="1:7">
      <c r="A195" t="s">
        <v>244</v>
      </c>
      <c r="B195" t="s">
        <v>376</v>
      </c>
      <c r="G195" t="str">
        <f>IF(NOT(ISBLANK(D195)),_xlfn.CONCAT("'",A195,"': ",C195,D195,","),"")</f>
        <v/>
      </c>
    </row>
    <row r="196" spans="1:7">
      <c r="A196" t="s">
        <v>245</v>
      </c>
      <c r="B196" t="s">
        <v>376</v>
      </c>
      <c r="G196" t="str">
        <f>IF(NOT(ISBLANK(D196)),_xlfn.CONCAT("'",A196,"': ",C196,D196,","),"")</f>
        <v/>
      </c>
    </row>
    <row r="197" spans="1:7">
      <c r="A197" t="s">
        <v>255</v>
      </c>
      <c r="B197" t="s">
        <v>376</v>
      </c>
      <c r="G197" t="str">
        <f>IF(NOT(ISBLANK(D197)),_xlfn.CONCAT("'",A197,"': ",C197,D197,","),"")</f>
        <v/>
      </c>
    </row>
    <row r="198" spans="1:7">
      <c r="A198" t="s">
        <v>256</v>
      </c>
      <c r="B198" t="s">
        <v>376</v>
      </c>
      <c r="G198" t="str">
        <f>IF(NOT(ISBLANK(D198)),_xlfn.CONCAT("'",A198,"': ",C198,D198,","),"")</f>
        <v/>
      </c>
    </row>
    <row r="199" spans="1:7">
      <c r="A199" t="s">
        <v>266</v>
      </c>
      <c r="B199" t="s">
        <v>376</v>
      </c>
      <c r="G199" t="str">
        <f>IF(NOT(ISBLANK(D199)),_xlfn.CONCAT("'",A199,"': ",C199,D199,","),"")</f>
        <v/>
      </c>
    </row>
    <row r="200" spans="1:7">
      <c r="A200" t="s">
        <v>267</v>
      </c>
      <c r="B200" t="s">
        <v>376</v>
      </c>
      <c r="G200" t="str">
        <f>IF(NOT(ISBLANK(D200)),_xlfn.CONCAT("'",A200,"': ",C200,D200,","),"")</f>
        <v/>
      </c>
    </row>
    <row r="201" spans="1:7">
      <c r="A201" t="s">
        <v>294</v>
      </c>
      <c r="B201" t="s">
        <v>376</v>
      </c>
      <c r="G201" t="str">
        <f>IF(NOT(ISBLANK(D201)),_xlfn.CONCAT("'",A201,"': ",C201,D201,","),"")</f>
        <v/>
      </c>
    </row>
    <row r="202" spans="1:7">
      <c r="A202" t="s">
        <v>295</v>
      </c>
      <c r="B202" t="s">
        <v>376</v>
      </c>
      <c r="G202" t="str">
        <f>IF(NOT(ISBLANK(D202)),_xlfn.CONCAT("'",A202,"': ",C202,D202,","),"")</f>
        <v/>
      </c>
    </row>
    <row r="203" spans="1:7">
      <c r="A203" t="s">
        <v>39</v>
      </c>
      <c r="B203" t="s">
        <v>375</v>
      </c>
      <c r="G203" t="str">
        <f>IF(NOT(ISBLANK(D203)),_xlfn.CONCAT("'",A203,"': ",C203,D203,","),"")</f>
        <v/>
      </c>
    </row>
    <row r="204" spans="1:7">
      <c r="A204" t="s">
        <v>40</v>
      </c>
      <c r="B204" t="s">
        <v>375</v>
      </c>
      <c r="G204" t="str">
        <f>IF(NOT(ISBLANK(D204)),_xlfn.CONCAT("'",A204,"': ",C204,D204,","),"")</f>
        <v/>
      </c>
    </row>
    <row r="205" spans="1:7">
      <c r="A205" t="s">
        <v>41</v>
      </c>
      <c r="B205" t="s">
        <v>375</v>
      </c>
      <c r="G205" t="str">
        <f>IF(NOT(ISBLANK(D205)),_xlfn.CONCAT("'",A205,"': ",C205,D205,","),"")</f>
        <v/>
      </c>
    </row>
    <row r="206" spans="1:7">
      <c r="A206" t="s">
        <v>42</v>
      </c>
      <c r="B206" t="s">
        <v>375</v>
      </c>
      <c r="G206" t="str">
        <f>IF(NOT(ISBLANK(D206)),_xlfn.CONCAT("'",A206,"': ",C206,D206,","),"")</f>
        <v/>
      </c>
    </row>
    <row r="207" spans="1:7">
      <c r="A207" t="s">
        <v>43</v>
      </c>
      <c r="B207" t="s">
        <v>375</v>
      </c>
      <c r="G207" t="str">
        <f>IF(NOT(ISBLANK(D207)),_xlfn.CONCAT("'",A207,"': ",C207,D207,","),"")</f>
        <v/>
      </c>
    </row>
    <row r="208" spans="1:7">
      <c r="A208" t="s">
        <v>44</v>
      </c>
      <c r="B208" t="s">
        <v>375</v>
      </c>
      <c r="G208" t="str">
        <f>IF(NOT(ISBLANK(D208)),_xlfn.CONCAT("'",A208,"': ",C208,D208,","),"")</f>
        <v/>
      </c>
    </row>
    <row r="209" spans="1:7">
      <c r="A209" t="s">
        <v>45</v>
      </c>
      <c r="B209" t="s">
        <v>375</v>
      </c>
      <c r="G209" t="str">
        <f>IF(NOT(ISBLANK(D209)),_xlfn.CONCAT("'",A209,"': ",C209,D209,","),"")</f>
        <v/>
      </c>
    </row>
    <row r="210" spans="1:7">
      <c r="A210" t="s">
        <v>124</v>
      </c>
      <c r="B210" t="s">
        <v>375</v>
      </c>
      <c r="G210" t="str">
        <f>IF(NOT(ISBLANK(D210)),_xlfn.CONCAT("'",A210,"': ",C210,D210,","),"")</f>
        <v/>
      </c>
    </row>
    <row r="211" spans="1:7">
      <c r="A211" t="s">
        <v>125</v>
      </c>
      <c r="B211" t="s">
        <v>375</v>
      </c>
      <c r="G211" t="str">
        <f>IF(NOT(ISBLANK(D211)),_xlfn.CONCAT("'",A211,"': ",C211,D211,","),"")</f>
        <v/>
      </c>
    </row>
    <row r="212" spans="1:7">
      <c r="A212" t="s">
        <v>126</v>
      </c>
      <c r="B212" t="s">
        <v>375</v>
      </c>
      <c r="G212" t="str">
        <f>IF(NOT(ISBLANK(D212)),_xlfn.CONCAT("'",A212,"': ",C212,D212,","),"")</f>
        <v/>
      </c>
    </row>
    <row r="213" spans="1:7">
      <c r="A213" t="s">
        <v>127</v>
      </c>
      <c r="B213" t="s">
        <v>375</v>
      </c>
      <c r="G213" t="str">
        <f>IF(NOT(ISBLANK(D213)),_xlfn.CONCAT("'",A213,"': ",C213,D213,","),"")</f>
        <v/>
      </c>
    </row>
    <row r="214" spans="1:7">
      <c r="A214" t="s">
        <v>128</v>
      </c>
      <c r="B214" t="s">
        <v>375</v>
      </c>
      <c r="G214" t="str">
        <f>IF(NOT(ISBLANK(D214)),_xlfn.CONCAT("'",A214,"': ",C214,D214,","),"")</f>
        <v/>
      </c>
    </row>
    <row r="215" spans="1:7">
      <c r="A215" t="s">
        <v>129</v>
      </c>
      <c r="B215" t="s">
        <v>375</v>
      </c>
      <c r="G215" t="str">
        <f>IF(NOT(ISBLANK(D215)),_xlfn.CONCAT("'",A215,"': ",C215,D215,","),"")</f>
        <v/>
      </c>
    </row>
    <row r="216" spans="1:7">
      <c r="A216" t="s">
        <v>130</v>
      </c>
      <c r="B216" t="s">
        <v>375</v>
      </c>
      <c r="G216" t="str">
        <f>IF(NOT(ISBLANK(D216)),_xlfn.CONCAT("'",A216,"': ",C216,D216,","),"")</f>
        <v/>
      </c>
    </row>
    <row r="217" spans="1:7">
      <c r="A217" t="s">
        <v>131</v>
      </c>
      <c r="B217" t="s">
        <v>375</v>
      </c>
      <c r="G217" t="str">
        <f>IF(NOT(ISBLANK(D217)),_xlfn.CONCAT("'",A217,"': ",C217,D217,","),"")</f>
        <v/>
      </c>
    </row>
    <row r="218" spans="1:7">
      <c r="A218" t="s">
        <v>132</v>
      </c>
      <c r="B218" t="s">
        <v>375</v>
      </c>
      <c r="G218" t="str">
        <f>IF(NOT(ISBLANK(D218)),_xlfn.CONCAT("'",A218,"': ",C218,D218,","),"")</f>
        <v/>
      </c>
    </row>
    <row r="219" spans="1:7">
      <c r="A219" t="s">
        <v>155</v>
      </c>
      <c r="B219" t="s">
        <v>375</v>
      </c>
      <c r="G219" t="str">
        <f>IF(NOT(ISBLANK(D219)),_xlfn.CONCAT("'",A219,"': ",C219,D219,","),"")</f>
        <v/>
      </c>
    </row>
    <row r="220" spans="1:7">
      <c r="A220" t="s">
        <v>168</v>
      </c>
      <c r="B220" t="s">
        <v>375</v>
      </c>
      <c r="G220" t="str">
        <f>IF(NOT(ISBLANK(D220)),_xlfn.CONCAT("'",A220,"': ",C220,D220,","),"")</f>
        <v/>
      </c>
    </row>
    <row r="221" spans="1:7">
      <c r="A221" t="s">
        <v>169</v>
      </c>
      <c r="B221" t="s">
        <v>375</v>
      </c>
      <c r="G221" t="str">
        <f>IF(NOT(ISBLANK(D221)),_xlfn.CONCAT("'",A221,"': ",C221,D221,","),"")</f>
        <v/>
      </c>
    </row>
    <row r="222" spans="1:7">
      <c r="A222" t="s">
        <v>170</v>
      </c>
      <c r="B222" t="s">
        <v>375</v>
      </c>
      <c r="G222" t="str">
        <f>IF(NOT(ISBLANK(D222)),_xlfn.CONCAT("'",A222,"': ",C222,D222,","),"")</f>
        <v/>
      </c>
    </row>
    <row r="223" spans="1:7">
      <c r="A223" t="s">
        <v>171</v>
      </c>
      <c r="B223" t="s">
        <v>375</v>
      </c>
      <c r="G223" t="str">
        <f>IF(NOT(ISBLANK(D223)),_xlfn.CONCAT("'",A223,"': ",C223,D223,","),"")</f>
        <v/>
      </c>
    </row>
    <row r="224" spans="1:7">
      <c r="A224" t="s">
        <v>172</v>
      </c>
      <c r="B224" t="s">
        <v>375</v>
      </c>
      <c r="G224" t="str">
        <f>IF(NOT(ISBLANK(D224)),_xlfn.CONCAT("'",A224,"': ",C224,D224,","),"")</f>
        <v/>
      </c>
    </row>
    <row r="225" spans="1:7">
      <c r="A225" t="s">
        <v>173</v>
      </c>
      <c r="B225" t="s">
        <v>375</v>
      </c>
      <c r="G225" t="str">
        <f>IF(NOT(ISBLANK(D225)),_xlfn.CONCAT("'",A225,"': ",C225,D225,","),"")</f>
        <v/>
      </c>
    </row>
    <row r="226" spans="1:7">
      <c r="A226" t="s">
        <v>174</v>
      </c>
      <c r="B226" t="s">
        <v>375</v>
      </c>
      <c r="G226" t="str">
        <f>IF(NOT(ISBLANK(D226)),_xlfn.CONCAT("'",A226,"': ",C226,D226,","),"")</f>
        <v/>
      </c>
    </row>
    <row r="227" spans="1:7">
      <c r="A227" t="s">
        <v>175</v>
      </c>
      <c r="B227" t="s">
        <v>375</v>
      </c>
      <c r="G227" t="str">
        <f>IF(NOT(ISBLANK(D227)),_xlfn.CONCAT("'",A227,"': ",C227,D227,","),"")</f>
        <v/>
      </c>
    </row>
    <row r="228" spans="1:7">
      <c r="A228" t="s">
        <v>176</v>
      </c>
      <c r="B228" t="s">
        <v>375</v>
      </c>
      <c r="G228" t="str">
        <f>IF(NOT(ISBLANK(D228)),_xlfn.CONCAT("'",A228,"': ",C228,D228,","),"")</f>
        <v/>
      </c>
    </row>
    <row r="229" spans="1:7">
      <c r="A229" t="s">
        <v>177</v>
      </c>
      <c r="B229" t="s">
        <v>375</v>
      </c>
      <c r="G229" t="str">
        <f>IF(NOT(ISBLANK(D229)),_xlfn.CONCAT("'",A229,"': ",C229,D229,","),"")</f>
        <v/>
      </c>
    </row>
    <row r="230" spans="1:7">
      <c r="A230" t="s">
        <v>180</v>
      </c>
      <c r="B230" t="s">
        <v>375</v>
      </c>
      <c r="G230" t="str">
        <f>IF(NOT(ISBLANK(D230)),_xlfn.CONCAT("'",A230,"': ",C230,D230,","),"")</f>
        <v/>
      </c>
    </row>
    <row r="231" spans="1:7">
      <c r="A231" t="s">
        <v>181</v>
      </c>
      <c r="B231" t="s">
        <v>375</v>
      </c>
      <c r="G231" t="str">
        <f>IF(NOT(ISBLANK(D231)),_xlfn.CONCAT("'",A231,"': ",C231,D231,","),"")</f>
        <v/>
      </c>
    </row>
    <row r="232" spans="1:7">
      <c r="A232" t="s">
        <v>182</v>
      </c>
      <c r="B232" t="s">
        <v>375</v>
      </c>
      <c r="G232" t="str">
        <f>IF(NOT(ISBLANK(D232)),_xlfn.CONCAT("'",A232,"': ",C232,D232,","),"")</f>
        <v/>
      </c>
    </row>
    <row r="233" spans="1:7">
      <c r="A233" t="s">
        <v>183</v>
      </c>
      <c r="B233" t="s">
        <v>375</v>
      </c>
      <c r="G233" t="str">
        <f>IF(NOT(ISBLANK(D233)),_xlfn.CONCAT("'",A233,"': ",C233,D233,","),"")</f>
        <v/>
      </c>
    </row>
    <row r="234" spans="1:7">
      <c r="A234" t="s">
        <v>184</v>
      </c>
      <c r="B234" t="s">
        <v>375</v>
      </c>
      <c r="G234" t="str">
        <f>IF(NOT(ISBLANK(D234)),_xlfn.CONCAT("'",A234,"': ",C234,D234,","),"")</f>
        <v/>
      </c>
    </row>
    <row r="235" spans="1:7">
      <c r="A235" t="s">
        <v>185</v>
      </c>
      <c r="B235" t="s">
        <v>375</v>
      </c>
      <c r="G235" t="str">
        <f>IF(NOT(ISBLANK(D235)),_xlfn.CONCAT("'",A235,"': ",C235,D235,","),"")</f>
        <v/>
      </c>
    </row>
    <row r="236" spans="1:7">
      <c r="A236" t="s">
        <v>186</v>
      </c>
      <c r="B236" t="s">
        <v>375</v>
      </c>
      <c r="G236" t="str">
        <f>IF(NOT(ISBLANK(D236)),_xlfn.CONCAT("'",A236,"': ",C236,D236,","),"")</f>
        <v/>
      </c>
    </row>
    <row r="237" spans="1:7">
      <c r="A237" t="s">
        <v>187</v>
      </c>
      <c r="B237" t="s">
        <v>375</v>
      </c>
      <c r="G237" t="str">
        <f>IF(NOT(ISBLANK(D237)),_xlfn.CONCAT("'",A237,"': ",C237,D237,","),"")</f>
        <v/>
      </c>
    </row>
    <row r="238" spans="1:7">
      <c r="A238" t="s">
        <v>188</v>
      </c>
      <c r="B238" t="s">
        <v>375</v>
      </c>
      <c r="G238" t="str">
        <f>IF(NOT(ISBLANK(D238)),_xlfn.CONCAT("'",A238,"': ",C238,D238,","),"")</f>
        <v/>
      </c>
    </row>
    <row r="239" spans="1:7">
      <c r="A239" t="s">
        <v>189</v>
      </c>
      <c r="B239" t="s">
        <v>375</v>
      </c>
      <c r="G239" t="str">
        <f>IF(NOT(ISBLANK(D239)),_xlfn.CONCAT("'",A239,"': ",C239,D239,","),"")</f>
        <v/>
      </c>
    </row>
    <row r="240" spans="1:7">
      <c r="A240" t="s">
        <v>190</v>
      </c>
      <c r="B240" t="s">
        <v>375</v>
      </c>
      <c r="G240" t="str">
        <f>IF(NOT(ISBLANK(D240)),_xlfn.CONCAT("'",A240,"': ",C240,D240,","),"")</f>
        <v/>
      </c>
    </row>
    <row r="241" spans="1:7">
      <c r="A241" t="s">
        <v>191</v>
      </c>
      <c r="B241" t="s">
        <v>375</v>
      </c>
      <c r="G241" t="str">
        <f>IF(NOT(ISBLANK(D241)),_xlfn.CONCAT("'",A241,"': ",C241,D241,","),"")</f>
        <v/>
      </c>
    </row>
    <row r="242" spans="1:7">
      <c r="A242" t="s">
        <v>192</v>
      </c>
      <c r="B242" t="s">
        <v>375</v>
      </c>
      <c r="G242" t="str">
        <f>IF(NOT(ISBLANK(D242)),_xlfn.CONCAT("'",A242,"': ",C242,D242,","),"")</f>
        <v/>
      </c>
    </row>
    <row r="243" spans="1:7">
      <c r="A243" t="s">
        <v>195</v>
      </c>
      <c r="B243" t="s">
        <v>375</v>
      </c>
      <c r="G243" t="str">
        <f>IF(NOT(ISBLANK(D243)),_xlfn.CONCAT("'",A243,"': ",C243,D243,","),"")</f>
        <v/>
      </c>
    </row>
    <row r="244" spans="1:7">
      <c r="A244" t="s">
        <v>196</v>
      </c>
      <c r="B244" t="s">
        <v>375</v>
      </c>
      <c r="G244" t="str">
        <f>IF(NOT(ISBLANK(D244)),_xlfn.CONCAT("'",A244,"': ",C244,D244,","),"")</f>
        <v/>
      </c>
    </row>
    <row r="245" spans="1:7">
      <c r="A245" t="s">
        <v>197</v>
      </c>
      <c r="B245" t="s">
        <v>375</v>
      </c>
      <c r="G245" t="str">
        <f>IF(NOT(ISBLANK(D245)),_xlfn.CONCAT("'",A245,"': ",C245,D245,","),"")</f>
        <v/>
      </c>
    </row>
    <row r="246" spans="1:7">
      <c r="A246" t="s">
        <v>198</v>
      </c>
      <c r="B246" t="s">
        <v>375</v>
      </c>
      <c r="G246" t="str">
        <f>IF(NOT(ISBLANK(D246)),_xlfn.CONCAT("'",A246,"': ",C246,D246,","),"")</f>
        <v/>
      </c>
    </row>
    <row r="247" spans="1:7">
      <c r="A247" t="s">
        <v>199</v>
      </c>
      <c r="B247" t="s">
        <v>375</v>
      </c>
      <c r="G247" t="str">
        <f>IF(NOT(ISBLANK(D247)),_xlfn.CONCAT("'",A247,"': ",C247,D247,","),"")</f>
        <v/>
      </c>
    </row>
    <row r="248" spans="1:7">
      <c r="A248" t="s">
        <v>200</v>
      </c>
      <c r="B248" t="s">
        <v>375</v>
      </c>
      <c r="G248" t="str">
        <f>IF(NOT(ISBLANK(D248)),_xlfn.CONCAT("'",A248,"': ",C248,D248,","),"")</f>
        <v/>
      </c>
    </row>
    <row r="249" spans="1:7">
      <c r="A249" t="s">
        <v>201</v>
      </c>
      <c r="B249" t="s">
        <v>375</v>
      </c>
      <c r="G249" t="str">
        <f>IF(NOT(ISBLANK(D249)),_xlfn.CONCAT("'",A249,"': ",C249,D249,","),"")</f>
        <v/>
      </c>
    </row>
    <row r="250" spans="1:7">
      <c r="A250" t="s">
        <v>202</v>
      </c>
      <c r="B250" t="s">
        <v>375</v>
      </c>
      <c r="G250" t="str">
        <f>IF(NOT(ISBLANK(D250)),_xlfn.CONCAT("'",A250,"': ",C250,D250,","),"")</f>
        <v/>
      </c>
    </row>
    <row r="251" spans="1:7">
      <c r="A251" t="s">
        <v>203</v>
      </c>
      <c r="B251" t="s">
        <v>375</v>
      </c>
      <c r="G251" t="str">
        <f>IF(NOT(ISBLANK(D251)),_xlfn.CONCAT("'",A251,"': ",C251,D251,","),"")</f>
        <v/>
      </c>
    </row>
    <row r="252" spans="1:7">
      <c r="A252" t="s">
        <v>204</v>
      </c>
      <c r="B252" t="s">
        <v>375</v>
      </c>
      <c r="G252" t="str">
        <f>IF(NOT(ISBLANK(D252)),_xlfn.CONCAT("'",A252,"': ",C252,D252,","),"")</f>
        <v/>
      </c>
    </row>
    <row r="253" spans="1:7">
      <c r="A253" t="s">
        <v>205</v>
      </c>
      <c r="B253" t="s">
        <v>375</v>
      </c>
      <c r="G253" t="str">
        <f>IF(NOT(ISBLANK(D253)),_xlfn.CONCAT("'",A253,"': ",C253,D253,","),"")</f>
        <v/>
      </c>
    </row>
    <row r="254" spans="1:7">
      <c r="A254" t="s">
        <v>206</v>
      </c>
      <c r="B254" t="s">
        <v>375</v>
      </c>
      <c r="G254" t="str">
        <f>IF(NOT(ISBLANK(D254)),_xlfn.CONCAT("'",A254,"': ",C254,D254,","),"")</f>
        <v/>
      </c>
    </row>
    <row r="255" spans="1:7">
      <c r="A255" t="s">
        <v>207</v>
      </c>
      <c r="B255" t="s">
        <v>375</v>
      </c>
      <c r="G255" t="str">
        <f>IF(NOT(ISBLANK(D255)),_xlfn.CONCAT("'",A255,"': ",C255,D255,","),"")</f>
        <v/>
      </c>
    </row>
    <row r="256" spans="1:7">
      <c r="A256" t="s">
        <v>210</v>
      </c>
      <c r="B256" t="s">
        <v>375</v>
      </c>
      <c r="G256" t="str">
        <f>IF(NOT(ISBLANK(D256)),_xlfn.CONCAT("'",A256,"': ",C256,D256,","),"")</f>
        <v/>
      </c>
    </row>
    <row r="257" spans="1:7">
      <c r="A257" t="s">
        <v>211</v>
      </c>
      <c r="B257" t="s">
        <v>375</v>
      </c>
      <c r="G257" t="str">
        <f>IF(NOT(ISBLANK(D257)),_xlfn.CONCAT("'",A257,"': ",C257,D257,","),"")</f>
        <v/>
      </c>
    </row>
    <row r="258" spans="1:7">
      <c r="A258" t="s">
        <v>212</v>
      </c>
      <c r="B258" t="s">
        <v>375</v>
      </c>
      <c r="G258" t="str">
        <f>IF(NOT(ISBLANK(D258)),_xlfn.CONCAT("'",A258,"': ",C258,D258,","),"")</f>
        <v/>
      </c>
    </row>
    <row r="259" spans="1:7">
      <c r="A259" t="s">
        <v>213</v>
      </c>
      <c r="B259" t="s">
        <v>375</v>
      </c>
      <c r="G259" t="str">
        <f>IF(NOT(ISBLANK(D259)),_xlfn.CONCAT("'",A259,"': ",C259,D259,","),"")</f>
        <v/>
      </c>
    </row>
    <row r="260" spans="1:7">
      <c r="A260" t="s">
        <v>214</v>
      </c>
      <c r="B260" t="s">
        <v>375</v>
      </c>
      <c r="G260" t="str">
        <f>IF(NOT(ISBLANK(D260)),_xlfn.CONCAT("'",A260,"': ",C260,D260,","),"")</f>
        <v/>
      </c>
    </row>
    <row r="261" spans="1:7">
      <c r="A261" t="s">
        <v>224</v>
      </c>
      <c r="B261" t="s">
        <v>375</v>
      </c>
      <c r="G261" t="str">
        <f>IF(NOT(ISBLANK(D261)),_xlfn.CONCAT("'",A261,"': ",C261,D261,","),"")</f>
        <v/>
      </c>
    </row>
    <row r="262" spans="1:7">
      <c r="A262" t="s">
        <v>225</v>
      </c>
      <c r="B262" t="s">
        <v>375</v>
      </c>
      <c r="G262" t="str">
        <f>IF(NOT(ISBLANK(D262)),_xlfn.CONCAT("'",A262,"': ",C262,D262,","),"")</f>
        <v/>
      </c>
    </row>
    <row r="263" spans="1:7">
      <c r="A263" t="s">
        <v>226</v>
      </c>
      <c r="B263" t="s">
        <v>375</v>
      </c>
      <c r="G263" t="str">
        <f>IF(NOT(ISBLANK(D263)),_xlfn.CONCAT("'",A263,"': ",C263,D263,","),"")</f>
        <v/>
      </c>
    </row>
    <row r="264" spans="1:7">
      <c r="A264" t="s">
        <v>227</v>
      </c>
      <c r="B264" t="s">
        <v>375</v>
      </c>
      <c r="G264" t="str">
        <f>IF(NOT(ISBLANK(D264)),_xlfn.CONCAT("'",A264,"': ",C264,D264,","),"")</f>
        <v/>
      </c>
    </row>
    <row r="265" spans="1:7">
      <c r="A265" t="s">
        <v>228</v>
      </c>
      <c r="B265" t="s">
        <v>375</v>
      </c>
      <c r="G265" t="str">
        <f>IF(NOT(ISBLANK(D265)),_xlfn.CONCAT("'",A265,"': ",C265,D265,","),"")</f>
        <v/>
      </c>
    </row>
    <row r="266" spans="1:7">
      <c r="A266" t="s">
        <v>229</v>
      </c>
      <c r="B266" t="s">
        <v>375</v>
      </c>
      <c r="G266" t="str">
        <f>IF(NOT(ISBLANK(D266)),_xlfn.CONCAT("'",A266,"': ",C266,D266,","),"")</f>
        <v/>
      </c>
    </row>
    <row r="267" spans="1:7">
      <c r="A267" t="s">
        <v>230</v>
      </c>
      <c r="B267" t="s">
        <v>375</v>
      </c>
      <c r="G267" t="str">
        <f>IF(NOT(ISBLANK(D267)),_xlfn.CONCAT("'",A267,"': ",C267,D267,","),"")</f>
        <v/>
      </c>
    </row>
    <row r="268" spans="1:7">
      <c r="A268" t="s">
        <v>232</v>
      </c>
      <c r="B268" t="s">
        <v>375</v>
      </c>
      <c r="G268" t="str">
        <f>IF(NOT(ISBLANK(D268)),_xlfn.CONCAT("'",A268,"': ",C268,D268,","),"")</f>
        <v/>
      </c>
    </row>
    <row r="269" spans="1:7">
      <c r="A269" t="s">
        <v>235</v>
      </c>
      <c r="B269" t="s">
        <v>375</v>
      </c>
      <c r="G269" t="str">
        <f>IF(NOT(ISBLANK(D269)),_xlfn.CONCAT("'",A269,"': ",C269,D269,","),"")</f>
        <v/>
      </c>
    </row>
    <row r="270" spans="1:7">
      <c r="A270" t="s">
        <v>236</v>
      </c>
      <c r="B270" t="s">
        <v>375</v>
      </c>
      <c r="G270" t="str">
        <f>IF(NOT(ISBLANK(D270)),_xlfn.CONCAT("'",A270,"': ",C270,D270,","),"")</f>
        <v/>
      </c>
    </row>
    <row r="271" spans="1:7">
      <c r="A271" t="s">
        <v>237</v>
      </c>
      <c r="B271" t="s">
        <v>375</v>
      </c>
      <c r="G271" t="str">
        <f>IF(NOT(ISBLANK(D271)),_xlfn.CONCAT("'",A271,"': ",C271,D271,","),"")</f>
        <v/>
      </c>
    </row>
    <row r="272" spans="1:7">
      <c r="A272" t="s">
        <v>238</v>
      </c>
      <c r="B272" t="s">
        <v>375</v>
      </c>
      <c r="G272" t="str">
        <f>IF(NOT(ISBLANK(D272)),_xlfn.CONCAT("'",A272,"': ",C272,D272,","),"")</f>
        <v/>
      </c>
    </row>
    <row r="273" spans="1:7">
      <c r="A273" t="s">
        <v>239</v>
      </c>
      <c r="B273" t="s">
        <v>375</v>
      </c>
      <c r="G273" t="str">
        <f>IF(NOT(ISBLANK(D273)),_xlfn.CONCAT("'",A273,"': ",C273,D273,","),"")</f>
        <v/>
      </c>
    </row>
    <row r="274" spans="1:7">
      <c r="A274" t="s">
        <v>240</v>
      </c>
      <c r="B274" t="s">
        <v>375</v>
      </c>
      <c r="G274" t="str">
        <f>IF(NOT(ISBLANK(D274)),_xlfn.CONCAT("'",A274,"': ",C274,D274,","),"")</f>
        <v/>
      </c>
    </row>
    <row r="275" spans="1:7">
      <c r="A275" t="s">
        <v>241</v>
      </c>
      <c r="B275" t="s">
        <v>375</v>
      </c>
      <c r="G275" t="str">
        <f>IF(NOT(ISBLANK(D275)),_xlfn.CONCAT("'",A275,"': ",C275,D275,","),"")</f>
        <v/>
      </c>
    </row>
    <row r="276" spans="1:7">
      <c r="A276" t="s">
        <v>242</v>
      </c>
      <c r="B276" t="s">
        <v>375</v>
      </c>
      <c r="G276" t="str">
        <f>IF(NOT(ISBLANK(D276)),_xlfn.CONCAT("'",A276,"': ",C276,D276,","),"")</f>
        <v/>
      </c>
    </row>
    <row r="277" spans="1:7">
      <c r="A277" t="s">
        <v>243</v>
      </c>
      <c r="B277" t="s">
        <v>375</v>
      </c>
      <c r="G277" t="str">
        <f>IF(NOT(ISBLANK(D277)),_xlfn.CONCAT("'",A277,"': ",C277,D277,","),"")</f>
        <v/>
      </c>
    </row>
    <row r="278" spans="1:7">
      <c r="A278" t="s">
        <v>246</v>
      </c>
      <c r="B278" t="s">
        <v>375</v>
      </c>
      <c r="G278" t="str">
        <f>IF(NOT(ISBLANK(D278)),_xlfn.CONCAT("'",A278,"': ",C278,D278,","),"")</f>
        <v/>
      </c>
    </row>
    <row r="279" spans="1:7">
      <c r="A279" t="s">
        <v>247</v>
      </c>
      <c r="B279" t="s">
        <v>375</v>
      </c>
      <c r="G279" t="str">
        <f>IF(NOT(ISBLANK(D279)),_xlfn.CONCAT("'",A279,"': ",C279,D279,","),"")</f>
        <v/>
      </c>
    </row>
    <row r="280" spans="1:7">
      <c r="A280" t="s">
        <v>248</v>
      </c>
      <c r="B280" t="s">
        <v>375</v>
      </c>
      <c r="G280" t="str">
        <f>IF(NOT(ISBLANK(D280)),_xlfn.CONCAT("'",A280,"': ",C280,D280,","),"")</f>
        <v/>
      </c>
    </row>
    <row r="281" spans="1:7">
      <c r="A281" t="s">
        <v>249</v>
      </c>
      <c r="B281" t="s">
        <v>375</v>
      </c>
      <c r="G281" t="str">
        <f>IF(NOT(ISBLANK(D281)),_xlfn.CONCAT("'",A281,"': ",C281,D281,","),"")</f>
        <v/>
      </c>
    </row>
    <row r="282" spans="1:7">
      <c r="A282" t="s">
        <v>250</v>
      </c>
      <c r="B282" t="s">
        <v>375</v>
      </c>
      <c r="G282" t="str">
        <f>IF(NOT(ISBLANK(D282)),_xlfn.CONCAT("'",A282,"': ",C282,D282,","),"")</f>
        <v/>
      </c>
    </row>
    <row r="283" spans="1:7">
      <c r="A283" t="s">
        <v>251</v>
      </c>
      <c r="B283" t="s">
        <v>375</v>
      </c>
      <c r="G283" t="str">
        <f>IF(NOT(ISBLANK(D283)),_xlfn.CONCAT("'",A283,"': ",C283,D283,","),"")</f>
        <v/>
      </c>
    </row>
    <row r="284" spans="1:7">
      <c r="A284" t="s">
        <v>252</v>
      </c>
      <c r="B284" t="s">
        <v>375</v>
      </c>
      <c r="G284" t="str">
        <f>IF(NOT(ISBLANK(D284)),_xlfn.CONCAT("'",A284,"': ",C284,D284,","),"")</f>
        <v/>
      </c>
    </row>
    <row r="285" spans="1:7">
      <c r="A285" t="s">
        <v>253</v>
      </c>
      <c r="B285" t="s">
        <v>375</v>
      </c>
      <c r="G285" t="str">
        <f>IF(NOT(ISBLANK(D285)),_xlfn.CONCAT("'",A285,"': ",C285,D285,","),"")</f>
        <v/>
      </c>
    </row>
    <row r="286" spans="1:7">
      <c r="A286" t="s">
        <v>254</v>
      </c>
      <c r="B286" t="s">
        <v>375</v>
      </c>
      <c r="G286" t="str">
        <f>IF(NOT(ISBLANK(D286)),_xlfn.CONCAT("'",A286,"': ",C286,D286,","),"")</f>
        <v/>
      </c>
    </row>
    <row r="287" spans="1:7">
      <c r="A287" t="s">
        <v>257</v>
      </c>
      <c r="B287" t="s">
        <v>375</v>
      </c>
      <c r="G287" t="str">
        <f>IF(NOT(ISBLANK(D287)),_xlfn.CONCAT("'",A287,"': ",C287,D287,","),"")</f>
        <v/>
      </c>
    </row>
    <row r="288" spans="1:7">
      <c r="A288" t="s">
        <v>258</v>
      </c>
      <c r="B288" t="s">
        <v>375</v>
      </c>
      <c r="G288" t="str">
        <f>IF(NOT(ISBLANK(D288)),_xlfn.CONCAT("'",A288,"': ",C288,D288,","),"")</f>
        <v/>
      </c>
    </row>
    <row r="289" spans="1:7">
      <c r="A289" t="s">
        <v>259</v>
      </c>
      <c r="B289" t="s">
        <v>375</v>
      </c>
      <c r="G289" t="str">
        <f>IF(NOT(ISBLANK(D289)),_xlfn.CONCAT("'",A289,"': ",C289,D289,","),"")</f>
        <v/>
      </c>
    </row>
    <row r="290" spans="1:7">
      <c r="A290" t="s">
        <v>260</v>
      </c>
      <c r="B290" t="s">
        <v>375</v>
      </c>
      <c r="G290" t="str">
        <f>IF(NOT(ISBLANK(D290)),_xlfn.CONCAT("'",A290,"': ",C290,D290,","),"")</f>
        <v/>
      </c>
    </row>
    <row r="291" spans="1:7">
      <c r="A291" t="s">
        <v>261</v>
      </c>
      <c r="B291" t="s">
        <v>375</v>
      </c>
      <c r="G291" t="str">
        <f>IF(NOT(ISBLANK(D291)),_xlfn.CONCAT("'",A291,"': ",C291,D291,","),"")</f>
        <v/>
      </c>
    </row>
    <row r="292" spans="1:7">
      <c r="A292" t="s">
        <v>262</v>
      </c>
      <c r="B292" t="s">
        <v>375</v>
      </c>
      <c r="G292" t="str">
        <f>IF(NOT(ISBLANK(D292)),_xlfn.CONCAT("'",A292,"': ",C292,D292,","),"")</f>
        <v/>
      </c>
    </row>
    <row r="293" spans="1:7">
      <c r="A293" t="s">
        <v>263</v>
      </c>
      <c r="B293" t="s">
        <v>375</v>
      </c>
      <c r="G293" t="str">
        <f>IF(NOT(ISBLANK(D293)),_xlfn.CONCAT("'",A293,"': ",C293,D293,","),"")</f>
        <v/>
      </c>
    </row>
    <row r="294" spans="1:7">
      <c r="A294" t="s">
        <v>264</v>
      </c>
      <c r="B294" t="s">
        <v>375</v>
      </c>
      <c r="G294" t="str">
        <f>IF(NOT(ISBLANK(D294)),_xlfn.CONCAT("'",A294,"': ",C294,D294,","),"")</f>
        <v/>
      </c>
    </row>
    <row r="295" spans="1:7">
      <c r="A295" t="s">
        <v>265</v>
      </c>
      <c r="B295" t="s">
        <v>375</v>
      </c>
      <c r="G295" t="str">
        <f>IF(NOT(ISBLANK(D295)),_xlfn.CONCAT("'",A295,"': ",C295,D295,","),"")</f>
        <v/>
      </c>
    </row>
    <row r="296" spans="1:7">
      <c r="A296" t="s">
        <v>268</v>
      </c>
      <c r="B296" t="s">
        <v>375</v>
      </c>
      <c r="G296" t="str">
        <f>IF(NOT(ISBLANK(D296)),_xlfn.CONCAT("'",A296,"': ",C296,D296,","),"")</f>
        <v/>
      </c>
    </row>
    <row r="297" spans="1:7">
      <c r="A297" t="s">
        <v>269</v>
      </c>
      <c r="B297" t="s">
        <v>375</v>
      </c>
      <c r="G297" t="str">
        <f>IF(NOT(ISBLANK(D297)),_xlfn.CONCAT("'",A297,"': ",C297,D297,","),"")</f>
        <v/>
      </c>
    </row>
    <row r="298" spans="1:7">
      <c r="A298" t="s">
        <v>270</v>
      </c>
      <c r="B298" t="s">
        <v>375</v>
      </c>
      <c r="G298" t="str">
        <f>IF(NOT(ISBLANK(D298)),_xlfn.CONCAT("'",A298,"': ",C298,D298,","),"")</f>
        <v/>
      </c>
    </row>
    <row r="299" spans="1:7">
      <c r="A299" t="s">
        <v>271</v>
      </c>
      <c r="B299" t="s">
        <v>375</v>
      </c>
      <c r="G299" t="str">
        <f>IF(NOT(ISBLANK(D299)),_xlfn.CONCAT("'",A299,"': ",C299,D299,","),"")</f>
        <v/>
      </c>
    </row>
    <row r="300" spans="1:7">
      <c r="A300" t="s">
        <v>284</v>
      </c>
      <c r="B300" t="s">
        <v>375</v>
      </c>
      <c r="G300" t="str">
        <f>IF(NOT(ISBLANK(D300)),_xlfn.CONCAT("'",A300,"': ",C300,D300,","),"")</f>
        <v/>
      </c>
    </row>
    <row r="301" spans="1:7">
      <c r="A301" t="s">
        <v>291</v>
      </c>
      <c r="B301" t="s">
        <v>375</v>
      </c>
      <c r="G301" t="str">
        <f>IF(NOT(ISBLANK(D301)),_xlfn.CONCAT("'",A301,"': ",C301,D301,","),"")</f>
        <v/>
      </c>
    </row>
    <row r="302" spans="1:7">
      <c r="A302" t="s">
        <v>292</v>
      </c>
      <c r="B302" t="s">
        <v>375</v>
      </c>
      <c r="G302" t="str">
        <f>IF(NOT(ISBLANK(D302)),_xlfn.CONCAT("'",A302,"': ",C302,D302,","),"")</f>
        <v/>
      </c>
    </row>
    <row r="303" spans="1:7">
      <c r="A303" t="s">
        <v>309</v>
      </c>
      <c r="B303" t="s">
        <v>375</v>
      </c>
      <c r="G303" t="str">
        <f>IF(NOT(ISBLANK(D303)),_xlfn.CONCAT("'",A303,"': ",C303,D303,","),"")</f>
        <v/>
      </c>
    </row>
    <row r="304" spans="1:7">
      <c r="A304" t="s">
        <v>310</v>
      </c>
      <c r="B304" t="s">
        <v>375</v>
      </c>
      <c r="G304" t="str">
        <f>IF(NOT(ISBLANK(D304)),_xlfn.CONCAT("'",A304,"': ",C304,D304,","),"")</f>
        <v/>
      </c>
    </row>
    <row r="305" spans="1:7">
      <c r="A305" t="s">
        <v>311</v>
      </c>
      <c r="B305" t="s">
        <v>375</v>
      </c>
    </row>
    <row r="306" spans="1:7">
      <c r="A306" t="s">
        <v>312</v>
      </c>
      <c r="B306" t="s">
        <v>375</v>
      </c>
    </row>
    <row r="307" spans="1:7">
      <c r="A307" t="s">
        <v>313</v>
      </c>
      <c r="B307" t="s">
        <v>375</v>
      </c>
    </row>
    <row r="308" spans="1:7">
      <c r="A308" t="s">
        <v>314</v>
      </c>
      <c r="B308" t="s">
        <v>375</v>
      </c>
    </row>
    <row r="309" spans="1:7">
      <c r="A309" t="s">
        <v>330</v>
      </c>
      <c r="B309" t="s">
        <v>375</v>
      </c>
    </row>
    <row r="310" spans="1:7">
      <c r="A310" t="s">
        <v>4</v>
      </c>
      <c r="B310" t="s">
        <v>379</v>
      </c>
      <c r="E310" t="s">
        <v>364</v>
      </c>
      <c r="G310" t="str">
        <f>IF(NOT(ISBLANK(D310)),_xlfn.CONCAT("'",A310,"': ",C310,D310,","),"")</f>
        <v/>
      </c>
    </row>
    <row r="311" spans="1:7">
      <c r="A311" t="s">
        <v>12</v>
      </c>
      <c r="B311" t="s">
        <v>379</v>
      </c>
      <c r="G311" t="str">
        <f>IF(NOT(ISBLANK(D311)),_xlfn.CONCAT("'",A311,"': ",C311,D311,","),"")</f>
        <v/>
      </c>
    </row>
    <row r="312" spans="1:7">
      <c r="A312" t="s">
        <v>18</v>
      </c>
      <c r="B312" t="s">
        <v>379</v>
      </c>
      <c r="G312" t="str">
        <f>IF(NOT(ISBLANK(D312)),_xlfn.CONCAT("'",A312,"': ",C312,D312,","),"")</f>
        <v/>
      </c>
    </row>
    <row r="313" spans="1:7">
      <c r="A313" t="s">
        <v>21</v>
      </c>
      <c r="B313" t="s">
        <v>379</v>
      </c>
      <c r="G313" t="str">
        <f>IF(NOT(ISBLANK(D313)),_xlfn.CONCAT("'",A313,"': ",C313,D313,","),"")</f>
        <v/>
      </c>
    </row>
    <row r="314" spans="1:7">
      <c r="A314" t="s">
        <v>32</v>
      </c>
      <c r="B314" t="s">
        <v>379</v>
      </c>
      <c r="G314" t="str">
        <f>IF(NOT(ISBLANK(D314)),_xlfn.CONCAT("'",A314,"': ",C314,D314,","),"")</f>
        <v/>
      </c>
    </row>
    <row r="315" spans="1:7">
      <c r="A315" t="s">
        <v>106</v>
      </c>
      <c r="B315" t="s">
        <v>379</v>
      </c>
      <c r="G315" t="str">
        <f>IF(NOT(ISBLANK(D315)),_xlfn.CONCAT("'",A315,"': ",C315,D315,","),"")</f>
        <v/>
      </c>
    </row>
    <row r="316" spans="1:7">
      <c r="A316" t="s">
        <v>107</v>
      </c>
      <c r="B316" t="s">
        <v>379</v>
      </c>
      <c r="G316" t="str">
        <f>IF(NOT(ISBLANK(D316)),_xlfn.CONCAT("'",A316,"': ",C316,D316,","),"")</f>
        <v/>
      </c>
    </row>
    <row r="317" spans="1:7">
      <c r="A317" t="s">
        <v>108</v>
      </c>
      <c r="B317" t="s">
        <v>379</v>
      </c>
      <c r="G317" t="str">
        <f>IF(NOT(ISBLANK(D317)),_xlfn.CONCAT("'",A317,"': ",C317,D317,","),"")</f>
        <v/>
      </c>
    </row>
    <row r="318" spans="1:7">
      <c r="A318" t="s">
        <v>109</v>
      </c>
      <c r="B318" t="s">
        <v>379</v>
      </c>
      <c r="G318" t="str">
        <f>IF(NOT(ISBLANK(D318)),_xlfn.CONCAT("'",A318,"': ",C318,D318,","),"")</f>
        <v/>
      </c>
    </row>
    <row r="319" spans="1:7">
      <c r="A319" t="s">
        <v>110</v>
      </c>
      <c r="B319" t="s">
        <v>379</v>
      </c>
      <c r="G319" t="str">
        <f>IF(NOT(ISBLANK(D319)),_xlfn.CONCAT("'",A319,"': ",C319,D319,","),"")</f>
        <v/>
      </c>
    </row>
    <row r="320" spans="1:7">
      <c r="A320" t="s">
        <v>111</v>
      </c>
      <c r="B320" t="s">
        <v>379</v>
      </c>
      <c r="G320" t="str">
        <f>IF(NOT(ISBLANK(D320)),_xlfn.CONCAT("'",A320,"': ",C320,D320,","),"")</f>
        <v/>
      </c>
    </row>
    <row r="321" spans="1:7">
      <c r="A321" t="s">
        <v>112</v>
      </c>
      <c r="B321" t="s">
        <v>379</v>
      </c>
      <c r="G321" t="str">
        <f>IF(NOT(ISBLANK(D321)),_xlfn.CONCAT("'",A321,"': ",C321,D321,","),"")</f>
        <v/>
      </c>
    </row>
    <row r="322" spans="1:7">
      <c r="A322" t="s">
        <v>113</v>
      </c>
      <c r="B322" t="s">
        <v>379</v>
      </c>
      <c r="G322" t="str">
        <f>IF(NOT(ISBLANK(D322)),_xlfn.CONCAT("'",A322,"': ",C322,D322,","),"")</f>
        <v/>
      </c>
    </row>
    <row r="323" spans="1:7">
      <c r="A323" t="s">
        <v>114</v>
      </c>
      <c r="B323" t="s">
        <v>379</v>
      </c>
      <c r="G323" t="str">
        <f>IF(NOT(ISBLANK(D323)),_xlfn.CONCAT("'",A323,"': ",C323,D323,","),"")</f>
        <v/>
      </c>
    </row>
    <row r="324" spans="1:7">
      <c r="A324" t="s">
        <v>115</v>
      </c>
      <c r="B324" t="s">
        <v>379</v>
      </c>
      <c r="G324" t="str">
        <f>IF(NOT(ISBLANK(D324)),_xlfn.CONCAT("'",A324,"': ",C324,D324,","),"")</f>
        <v/>
      </c>
    </row>
    <row r="325" spans="1:7">
      <c r="A325" t="s">
        <v>116</v>
      </c>
      <c r="B325" t="s">
        <v>379</v>
      </c>
      <c r="G325" t="str">
        <f>IF(NOT(ISBLANK(D325)),_xlfn.CONCAT("'",A325,"': ",C325,D325,","),"")</f>
        <v/>
      </c>
    </row>
    <row r="326" spans="1:7">
      <c r="A326" t="s">
        <v>52</v>
      </c>
      <c r="B326" t="s">
        <v>369</v>
      </c>
      <c r="G326" t="str">
        <f>IF(NOT(ISBLANK(D326)),_xlfn.CONCAT("'",A326,"': ",C326,D326,","),"")</f>
        <v/>
      </c>
    </row>
    <row r="327" spans="1:7">
      <c r="A327" t="s">
        <v>53</v>
      </c>
      <c r="B327" t="s">
        <v>369</v>
      </c>
      <c r="G327" t="str">
        <f>IF(NOT(ISBLANK(D327)),_xlfn.CONCAT("'",A327,"': ",C327,D327,","),"")</f>
        <v/>
      </c>
    </row>
    <row r="328" spans="1:7">
      <c r="A328" t="s">
        <v>54</v>
      </c>
      <c r="B328" t="s">
        <v>369</v>
      </c>
      <c r="G328" t="str">
        <f>IF(NOT(ISBLANK(D328)),_xlfn.CONCAT("'",A328,"': ",C328,D328,","),"")</f>
        <v/>
      </c>
    </row>
    <row r="329" spans="1:7">
      <c r="A329" t="s">
        <v>56</v>
      </c>
      <c r="B329" t="s">
        <v>369</v>
      </c>
      <c r="G329" t="str">
        <f>IF(NOT(ISBLANK(D329)),_xlfn.CONCAT("'",A329,"': ",C329,D329,","),"")</f>
        <v/>
      </c>
    </row>
    <row r="330" spans="1:7">
      <c r="A330" t="s">
        <v>57</v>
      </c>
      <c r="B330" t="s">
        <v>369</v>
      </c>
      <c r="G330" t="str">
        <f>IF(NOT(ISBLANK(D330)),_xlfn.CONCAT("'",A330,"': ",C330,D330,","),"")</f>
        <v/>
      </c>
    </row>
    <row r="331" spans="1:7">
      <c r="A331" t="s">
        <v>58</v>
      </c>
      <c r="B331" t="s">
        <v>369</v>
      </c>
      <c r="G331" t="str">
        <f>IF(NOT(ISBLANK(D331)),_xlfn.CONCAT("'",A331,"': ",C331,D331,","),"")</f>
        <v/>
      </c>
    </row>
    <row r="332" spans="1:7">
      <c r="A332" t="s">
        <v>61</v>
      </c>
      <c r="B332" t="s">
        <v>369</v>
      </c>
      <c r="G332" t="str">
        <f>IF(NOT(ISBLANK(D332)),_xlfn.CONCAT("'",A332,"': ",C332,D332,","),"")</f>
        <v/>
      </c>
    </row>
    <row r="333" spans="1:7">
      <c r="A333" t="s">
        <v>62</v>
      </c>
      <c r="B333" t="s">
        <v>369</v>
      </c>
      <c r="G333" t="str">
        <f>IF(NOT(ISBLANK(D333)),_xlfn.CONCAT("'",A333,"': ",C333,D333,","),"")</f>
        <v/>
      </c>
    </row>
    <row r="334" spans="1:7">
      <c r="A334" t="s">
        <v>64</v>
      </c>
      <c r="B334" t="s">
        <v>369</v>
      </c>
      <c r="G334" t="str">
        <f>IF(NOT(ISBLANK(D334)),_xlfn.CONCAT("'",A334,"': ",C334,D334,","),"")</f>
        <v/>
      </c>
    </row>
    <row r="338" spans="13:14">
      <c r="M338" t="str" cm="1">
        <f t="array" ref="M338:M361">_xlfn._xlws.SORT(_xlfn.UNIQUE(G2:G500))</f>
        <v/>
      </c>
    </row>
    <row r="339" spans="13:14">
      <c r="M339" t="str">
        <v>'Background': character.background.name,</v>
      </c>
      <c r="N339" t="s">
        <v>343</v>
      </c>
    </row>
    <row r="340" spans="13:14">
      <c r="M340" t="str">
        <v>'CHA': str(character.abilities["Charisma"]),</v>
      </c>
      <c r="N340" t="s">
        <v>398</v>
      </c>
    </row>
    <row r="341" spans="13:14">
      <c r="M341" t="str">
        <v>'CHamod': str(header.abMod(character.abilities["Charisma"])),</v>
      </c>
      <c r="N341" t="s">
        <v>399</v>
      </c>
    </row>
    <row r="342" spans="13:14">
      <c r="M342" t="str">
        <v>'CharacterName': character.name,</v>
      </c>
      <c r="N342" t="s">
        <v>345</v>
      </c>
    </row>
    <row r="343" spans="13:14">
      <c r="M343" t="str">
        <v>'Check Box 12': "Y",</v>
      </c>
      <c r="N343" t="s">
        <v>400</v>
      </c>
    </row>
    <row r="344" spans="13:14">
      <c r="M344" t="str">
        <v>'ClassLevel': str(character.charClass.name) + " " + str(character.level),</v>
      </c>
      <c r="N344" t="s">
        <v>382</v>
      </c>
    </row>
    <row r="345" spans="13:14">
      <c r="M345" t="str">
        <v>'CON': str(character.abilities["Constitution"]),</v>
      </c>
      <c r="N345" t="s">
        <v>401</v>
      </c>
    </row>
    <row r="346" spans="13:14">
      <c r="M346" t="str">
        <v>'CONmod': str(header.abMod(character.abilities["Constitution"])),</v>
      </c>
      <c r="N346" t="s">
        <v>402</v>
      </c>
    </row>
    <row r="347" spans="13:14">
      <c r="M347" t="str">
        <v>'DEX': str(character.abilities["Dexterity"]),</v>
      </c>
      <c r="N347" t="s">
        <v>403</v>
      </c>
    </row>
    <row r="348" spans="13:14">
      <c r="M348" t="str">
        <v>'DEXmod': str(header.abMod(character.abilities["Dexterity"])),</v>
      </c>
      <c r="N348" t="s">
        <v>404</v>
      </c>
    </row>
    <row r="349" spans="13:14">
      <c r="M349" t="str">
        <v>'HPCurrent': str(character.HP),</v>
      </c>
      <c r="N349" t="s">
        <v>405</v>
      </c>
    </row>
    <row r="350" spans="13:14">
      <c r="M350" t="str">
        <v>'HPMax': str(character.HP),</v>
      </c>
      <c r="N350" t="s">
        <v>406</v>
      </c>
    </row>
    <row r="351" spans="13:14">
      <c r="M351" t="str">
        <v>'INT': str(character.abilities["Intelligence"]),</v>
      </c>
      <c r="N351" t="s">
        <v>407</v>
      </c>
    </row>
    <row r="352" spans="13:14">
      <c r="M352" t="str">
        <v>'INTmod': str(header.abMod(character.abilities["Constitution"])),</v>
      </c>
      <c r="N352" t="s">
        <v>408</v>
      </c>
    </row>
    <row r="353" spans="13:14">
      <c r="M353" t="str">
        <v>'PlayerName': character.rank,</v>
      </c>
      <c r="N353" t="s">
        <v>344</v>
      </c>
    </row>
    <row r="354" spans="13:14">
      <c r="M354" t="str">
        <v>'ProfBonus': str(character.profBonus),</v>
      </c>
      <c r="N354" t="s">
        <v>409</v>
      </c>
    </row>
    <row r="355" spans="13:14">
      <c r="M355" t="str">
        <v>'Race ': character.race.name,</v>
      </c>
      <c r="N355" t="s">
        <v>346</v>
      </c>
    </row>
    <row r="356" spans="13:14">
      <c r="M356" t="str">
        <v>'Speed': str(character.speed) + " ft.",</v>
      </c>
      <c r="N356" t="s">
        <v>410</v>
      </c>
    </row>
    <row r="357" spans="13:14">
      <c r="M357" t="str">
        <v>'STR': str(character.abilities["Strength"]),</v>
      </c>
      <c r="N357" t="s">
        <v>411</v>
      </c>
    </row>
    <row r="358" spans="13:14">
      <c r="M358" t="str">
        <v>'STRmod': str(header.abMod(character.abilities["Strength"])),</v>
      </c>
      <c r="N358" t="s">
        <v>412</v>
      </c>
    </row>
    <row r="359" spans="13:14">
      <c r="M359" t="str">
        <v>'WIS': str(character.abilities["Wisdom"]),</v>
      </c>
      <c r="N359" t="s">
        <v>413</v>
      </c>
    </row>
    <row r="360" spans="13:14">
      <c r="M360" t="str">
        <v>'WISmod': str(header.abMod(character.abilities["Intelligence"])),</v>
      </c>
      <c r="N360" t="s">
        <v>414</v>
      </c>
    </row>
    <row r="361" spans="13:14">
      <c r="M361">
        <v>0</v>
      </c>
    </row>
  </sheetData>
  <autoFilter ref="A1:G334" xr:uid="{CEC3A4C9-B7D7-4220-9DD7-04769A767918}">
    <sortState xmlns:xlrd2="http://schemas.microsoft.com/office/spreadsheetml/2017/richdata2" ref="A2:G334">
      <sortCondition ref="B1:B334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CFA5-3BD5-483C-A82F-59977B3BF22E}">
  <dimension ref="A1:G44"/>
  <sheetViews>
    <sheetView topLeftCell="A16" workbookViewId="0">
      <selection activeCell="G21" sqref="G21:G37"/>
    </sheetView>
  </sheetViews>
  <sheetFormatPr defaultRowHeight="14.25"/>
  <sheetData>
    <row r="1" spans="1:1">
      <c r="A1" t="s">
        <v>342</v>
      </c>
    </row>
    <row r="2" spans="1:1">
      <c r="A2" t="s">
        <v>343</v>
      </c>
    </row>
    <row r="3" spans="1:1">
      <c r="A3" t="s">
        <v>344</v>
      </c>
    </row>
    <row r="4" spans="1:1">
      <c r="A4" t="s">
        <v>345</v>
      </c>
    </row>
    <row r="5" spans="1:1">
      <c r="A5" t="s">
        <v>346</v>
      </c>
    </row>
    <row r="6" spans="1:1">
      <c r="A6" t="s">
        <v>347</v>
      </c>
    </row>
    <row r="7" spans="1:1">
      <c r="A7" t="s">
        <v>348</v>
      </c>
    </row>
    <row r="8" spans="1:1">
      <c r="A8" t="s">
        <v>349</v>
      </c>
    </row>
    <row r="9" spans="1:1">
      <c r="A9" t="s">
        <v>350</v>
      </c>
    </row>
    <row r="10" spans="1:1">
      <c r="A10" s="1" t="s">
        <v>358</v>
      </c>
    </row>
    <row r="11" spans="1:1">
      <c r="A11" t="s">
        <v>352</v>
      </c>
    </row>
    <row r="12" spans="1:1">
      <c r="A12" t="s">
        <v>353</v>
      </c>
    </row>
    <row r="13" spans="1:1">
      <c r="A13" s="1" t="s">
        <v>359</v>
      </c>
    </row>
    <row r="14" spans="1:1">
      <c r="A14" t="s">
        <v>355</v>
      </c>
    </row>
    <row r="15" spans="1:1">
      <c r="A15" s="1" t="s">
        <v>360</v>
      </c>
    </row>
    <row r="16" spans="1:1">
      <c r="A16" s="1" t="s">
        <v>361</v>
      </c>
    </row>
    <row r="21" spans="1:7">
      <c r="A21" t="s">
        <v>365</v>
      </c>
      <c r="G21" t="str" cm="1">
        <f t="array" ref="G21:G37">_xlfn.UNIQUE(A21:A51)</f>
        <v>'ClassLevel': str(character.class) + " " + str(character.level),</v>
      </c>
    </row>
    <row r="22" spans="1:7">
      <c r="A22" t="s">
        <v>343</v>
      </c>
      <c r="G22" t="str">
        <v>'Background': character.background.name,</v>
      </c>
    </row>
    <row r="23" spans="1:7">
      <c r="A23" t="s">
        <v>344</v>
      </c>
      <c r="G23" t="str">
        <v>'PlayerName': character.rank,</v>
      </c>
    </row>
    <row r="24" spans="1:7">
      <c r="A24" t="s">
        <v>345</v>
      </c>
      <c r="G24" t="str">
        <v>'CharacterName': character.name,</v>
      </c>
    </row>
    <row r="25" spans="1:7">
      <c r="A25" t="s">
        <v>346</v>
      </c>
      <c r="G25" t="str">
        <v>'Race': character.race.name,</v>
      </c>
    </row>
    <row r="26" spans="1:7">
      <c r="G26">
        <v>0</v>
      </c>
    </row>
    <row r="27" spans="1:7">
      <c r="G27" t="str">
        <v>'STR': character.self.abilities["Strength"],</v>
      </c>
    </row>
    <row r="28" spans="1:7">
      <c r="G28" t="str">
        <v>'ProfBonus': character.profBonus,</v>
      </c>
    </row>
    <row r="29" spans="1:7">
      <c r="A29" t="s">
        <v>347</v>
      </c>
      <c r="G29" t="str">
        <v>'Speed': character.speed,</v>
      </c>
    </row>
    <row r="30" spans="1:7">
      <c r="A30" t="s">
        <v>348</v>
      </c>
      <c r="G30" t="str">
        <v>'PersonalityTraits': ,</v>
      </c>
    </row>
    <row r="31" spans="1:7">
      <c r="G31" t="str">
        <v>'STRmod': character.abmod(self.abilities["Strength"]),</v>
      </c>
    </row>
    <row r="32" spans="1:7">
      <c r="G32" t="str">
        <v>'HPMax': character.HP,</v>
      </c>
    </row>
    <row r="33" spans="1:7">
      <c r="A33" t="s">
        <v>349</v>
      </c>
      <c r="G33" t="str">
        <v>'ST Strength': 1,</v>
      </c>
    </row>
    <row r="34" spans="1:7">
      <c r="A34" t="s">
        <v>350</v>
      </c>
      <c r="G34" t="str">
        <v>'DEX': character.abmod(self.abilities["Dexterity"]),</v>
      </c>
    </row>
    <row r="35" spans="1:7">
      <c r="A35" t="s">
        <v>351</v>
      </c>
      <c r="G35" t="str">
        <v>'HPCurrent': character.HP,</v>
      </c>
    </row>
    <row r="36" spans="1:7">
      <c r="A36" t="s">
        <v>352</v>
      </c>
      <c r="G36" t="str">
        <v>'DEXmod': character.abmod(self.abilities["Dexterity"]),</v>
      </c>
    </row>
    <row r="37" spans="1:7">
      <c r="A37" t="s">
        <v>353</v>
      </c>
      <c r="G37" t="str">
        <v>'CON': character.abmod(self.abilities["Constitution"]),</v>
      </c>
    </row>
    <row r="38" spans="1:7">
      <c r="A38" t="s">
        <v>354</v>
      </c>
    </row>
    <row r="39" spans="1:7">
      <c r="A39" t="s">
        <v>355</v>
      </c>
    </row>
    <row r="41" spans="1:7">
      <c r="A41" t="s">
        <v>356</v>
      </c>
    </row>
    <row r="44" spans="1:7">
      <c r="A44" t="s">
        <v>357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Hadley</dc:creator>
  <cp:lastModifiedBy>Joseph Hadley</cp:lastModifiedBy>
  <dcterms:created xsi:type="dcterms:W3CDTF">2024-12-21T05:06:16Z</dcterms:created>
  <dcterms:modified xsi:type="dcterms:W3CDTF">2024-12-21T11:50:37Z</dcterms:modified>
</cp:coreProperties>
</file>